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howObjects="placeholders"/>
  <mc:AlternateContent xmlns:mc="http://schemas.openxmlformats.org/markup-compatibility/2006">
    <mc:Choice Requires="x15">
      <x15ac:absPath xmlns:x15ac="http://schemas.microsoft.com/office/spreadsheetml/2010/11/ac" url="N:\CLAS\OOCL\101GNBAT\STSTCIE\BATST\SIE S4\VC GN\999 - GEDEELDE MAP\2025\AGM\901-928 EFP\Documenten LT 2026\"/>
    </mc:Choice>
  </mc:AlternateContent>
  <xr:revisionPtr revIDLastSave="0" documentId="13_ncr:1_{633D6BC4-0228-4B4D-9E37-FAF3A0614B08}" xr6:coauthVersionLast="47" xr6:coauthVersionMax="47" xr10:uidLastSave="{00000000-0000-0000-0000-000000000000}"/>
  <bookViews>
    <workbookView xWindow="690" yWindow="690" windowWidth="30930" windowHeight="15945" tabRatio="863" activeTab="1" xr2:uid="{00000000-000D-0000-FFFF-FFFF00000000}"/>
  </bookViews>
  <sheets>
    <sheet name="Invulinstructie" sheetId="5" r:id="rId1"/>
    <sheet name=" A1" sheetId="2" r:id="rId2"/>
    <sheet name="D" sheetId="4" r:id="rId3"/>
    <sheet name="Overzicht Materieel" sheetId="3" r:id="rId4"/>
  </sheets>
  <definedNames>
    <definedName name="_xlnm.Print_Area" localSheetId="2">D!$A$1:$CY$72</definedName>
    <definedName name="_xlnm.Print_Titles" localSheetId="1">' A1'!$1:$11</definedName>
    <definedName name="_xlnm.Print_Titles" localSheetId="2">D!$A:$C,D!$1:$5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2" l="1"/>
  <c r="R15" i="2"/>
  <c r="P15" i="2"/>
  <c r="Q15" i="2" s="1"/>
  <c r="O15" i="2"/>
  <c r="M15" i="2"/>
  <c r="K15" i="2"/>
  <c r="I15" i="2"/>
  <c r="H15" i="2"/>
  <c r="S13" i="2"/>
  <c r="R13" i="2"/>
  <c r="P13" i="2"/>
  <c r="Q13" i="2" s="1"/>
  <c r="O13" i="2"/>
  <c r="M13" i="2"/>
  <c r="K13" i="2"/>
  <c r="I13" i="2"/>
  <c r="H13" i="2"/>
  <c r="H16" i="2"/>
  <c r="O19" i="4" l="1"/>
  <c r="P19" i="4"/>
  <c r="P20" i="4" s="1"/>
  <c r="Q19" i="4"/>
  <c r="R19" i="4"/>
  <c r="R20" i="4" s="1"/>
  <c r="S19" i="4"/>
  <c r="T19" i="4"/>
  <c r="T20" i="4" s="1"/>
  <c r="U19" i="4"/>
  <c r="V19" i="4"/>
  <c r="V20" i="4" s="1"/>
  <c r="W19" i="4"/>
  <c r="X19" i="4"/>
  <c r="X20" i="4" s="1"/>
  <c r="Y19" i="4"/>
  <c r="Z19" i="4"/>
  <c r="Z20" i="4" s="1"/>
  <c r="AA19" i="4"/>
  <c r="AA20" i="4" s="1"/>
  <c r="AB19" i="4"/>
  <c r="AB20" i="4" s="1"/>
  <c r="AC19" i="4"/>
  <c r="AC20" i="4" s="1"/>
  <c r="AD19" i="4"/>
  <c r="AD20" i="4" s="1"/>
  <c r="AE19" i="4"/>
  <c r="AF19" i="4"/>
  <c r="AF20" i="4" s="1"/>
  <c r="AG19" i="4"/>
  <c r="AH19" i="4"/>
  <c r="AH20" i="4" s="1"/>
  <c r="AI19" i="4"/>
  <c r="AJ19" i="4"/>
  <c r="AJ20" i="4" s="1"/>
  <c r="AK19" i="4"/>
  <c r="AL19" i="4"/>
  <c r="AL20" i="4" s="1"/>
  <c r="AM19" i="4"/>
  <c r="AM20" i="4" s="1"/>
  <c r="AN19" i="4"/>
  <c r="AN20" i="4" s="1"/>
  <c r="AO19" i="4"/>
  <c r="AO20" i="4" s="1"/>
  <c r="AP19" i="4"/>
  <c r="AP20" i="4" s="1"/>
  <c r="AQ19" i="4"/>
  <c r="AR19" i="4"/>
  <c r="AR20" i="4" s="1"/>
  <c r="AS19" i="4"/>
  <c r="AS20" i="4" s="1"/>
  <c r="AT19" i="4"/>
  <c r="AT20" i="4" s="1"/>
  <c r="AU19" i="4"/>
  <c r="AU20" i="4" s="1"/>
  <c r="AV19" i="4"/>
  <c r="AV20" i="4" s="1"/>
  <c r="AW19" i="4"/>
  <c r="AW20" i="4" s="1"/>
  <c r="AX19" i="4"/>
  <c r="AX20" i="4" s="1"/>
  <c r="AY19" i="4"/>
  <c r="AY20" i="4" s="1"/>
  <c r="AZ19" i="4"/>
  <c r="AZ20" i="4" s="1"/>
  <c r="BA19" i="4"/>
  <c r="BA20" i="4" s="1"/>
  <c r="BB19" i="4"/>
  <c r="BB20" i="4" s="1"/>
  <c r="BC19" i="4"/>
  <c r="BD19" i="4"/>
  <c r="BD20" i="4" s="1"/>
  <c r="BE19" i="4"/>
  <c r="BF19" i="4"/>
  <c r="BF20" i="4" s="1"/>
  <c r="BG19" i="4"/>
  <c r="BH19" i="4"/>
  <c r="BH20" i="4" s="1"/>
  <c r="BI19" i="4"/>
  <c r="BJ19" i="4"/>
  <c r="BJ20" i="4" s="1"/>
  <c r="BK19" i="4"/>
  <c r="BL19" i="4"/>
  <c r="BL20" i="4" s="1"/>
  <c r="BM19" i="4"/>
  <c r="BN19" i="4"/>
  <c r="BN20" i="4" s="1"/>
  <c r="BO19" i="4"/>
  <c r="BO20" i="4" s="1"/>
  <c r="BP19" i="4"/>
  <c r="BP20" i="4" s="1"/>
  <c r="BQ19" i="4"/>
  <c r="BQ20" i="4" s="1"/>
  <c r="BR19" i="4"/>
  <c r="BR20" i="4" s="1"/>
  <c r="BS19" i="4"/>
  <c r="BT19" i="4"/>
  <c r="BT20" i="4" s="1"/>
  <c r="BU19" i="4"/>
  <c r="BU20" i="4" s="1"/>
  <c r="BV19" i="4"/>
  <c r="BV20" i="4" s="1"/>
  <c r="BW19" i="4"/>
  <c r="BX19" i="4"/>
  <c r="BX20" i="4" s="1"/>
  <c r="BY19" i="4"/>
  <c r="BZ19" i="4"/>
  <c r="BZ20" i="4" s="1"/>
  <c r="CA19" i="4"/>
  <c r="CA20" i="4" s="1"/>
  <c r="CB19" i="4"/>
  <c r="CB20" i="4" s="1"/>
  <c r="CC19" i="4"/>
  <c r="CC20" i="4" s="1"/>
  <c r="CD19" i="4"/>
  <c r="CD20" i="4" s="1"/>
  <c r="CE19" i="4"/>
  <c r="CF19" i="4"/>
  <c r="CF20" i="4" s="1"/>
  <c r="CG19" i="4"/>
  <c r="CG20" i="4" s="1"/>
  <c r="CH19" i="4"/>
  <c r="CH20" i="4" s="1"/>
  <c r="CI19" i="4"/>
  <c r="CI20" i="4" s="1"/>
  <c r="CJ19" i="4"/>
  <c r="CJ20" i="4" s="1"/>
  <c r="CK19" i="4"/>
  <c r="CK20" i="4" s="1"/>
  <c r="CL19" i="4"/>
  <c r="CL20" i="4" s="1"/>
  <c r="CM19" i="4"/>
  <c r="CM20" i="4" s="1"/>
  <c r="CN19" i="4"/>
  <c r="CN20" i="4" s="1"/>
  <c r="CO19" i="4"/>
  <c r="CO20" i="4" s="1"/>
  <c r="CP19" i="4"/>
  <c r="CP20" i="4" s="1"/>
  <c r="CQ19" i="4"/>
  <c r="CR19" i="4"/>
  <c r="CR20" i="4" s="1"/>
  <c r="CS19" i="4"/>
  <c r="CT19" i="4"/>
  <c r="CT20" i="4" s="1"/>
  <c r="CU19" i="4"/>
  <c r="CV19" i="4"/>
  <c r="CV20" i="4" s="1"/>
  <c r="CW19" i="4"/>
  <c r="CX19" i="4"/>
  <c r="CX20" i="4" s="1"/>
  <c r="CY19" i="4"/>
  <c r="O20" i="4"/>
  <c r="Q20" i="4"/>
  <c r="S20" i="4"/>
  <c r="U20" i="4"/>
  <c r="W20" i="4"/>
  <c r="Y20" i="4"/>
  <c r="AE20" i="4"/>
  <c r="AG20" i="4"/>
  <c r="AI20" i="4"/>
  <c r="AK20" i="4"/>
  <c r="AQ20" i="4"/>
  <c r="BC20" i="4"/>
  <c r="BE20" i="4"/>
  <c r="BG20" i="4"/>
  <c r="BI20" i="4"/>
  <c r="BK20" i="4"/>
  <c r="BM20" i="4"/>
  <c r="BS20" i="4"/>
  <c r="BW20" i="4"/>
  <c r="BY20" i="4"/>
  <c r="CE20" i="4"/>
  <c r="CQ20" i="4"/>
  <c r="CS20" i="4"/>
  <c r="CU20" i="4"/>
  <c r="CW20" i="4"/>
  <c r="CY20" i="4"/>
  <c r="O22" i="4"/>
  <c r="O23" i="4" s="1"/>
  <c r="P22" i="4"/>
  <c r="P23" i="4" s="1"/>
  <c r="Q22" i="4"/>
  <c r="Q23" i="4" s="1"/>
  <c r="R22" i="4"/>
  <c r="R23" i="4" s="1"/>
  <c r="S22" i="4"/>
  <c r="S23" i="4" s="1"/>
  <c r="T22" i="4"/>
  <c r="T23" i="4" s="1"/>
  <c r="U22" i="4"/>
  <c r="V22" i="4"/>
  <c r="V23" i="4" s="1"/>
  <c r="W22" i="4"/>
  <c r="X22" i="4"/>
  <c r="X23" i="4" s="1"/>
  <c r="Y22" i="4"/>
  <c r="Z22" i="4"/>
  <c r="Z23" i="4" s="1"/>
  <c r="AA22" i="4"/>
  <c r="AB22" i="4"/>
  <c r="AB23" i="4" s="1"/>
  <c r="AC22" i="4"/>
  <c r="AD22" i="4"/>
  <c r="AD23" i="4" s="1"/>
  <c r="AE22" i="4"/>
  <c r="AF22" i="4"/>
  <c r="AF23" i="4" s="1"/>
  <c r="AG22" i="4"/>
  <c r="AH22" i="4"/>
  <c r="AH23" i="4" s="1"/>
  <c r="AI22" i="4"/>
  <c r="AI23" i="4" s="1"/>
  <c r="AJ22" i="4"/>
  <c r="AJ23" i="4" s="1"/>
  <c r="AK22" i="4"/>
  <c r="AL22" i="4"/>
  <c r="AL23" i="4" s="1"/>
  <c r="AM22" i="4"/>
  <c r="AM23" i="4" s="1"/>
  <c r="AN22" i="4"/>
  <c r="AN23" i="4" s="1"/>
  <c r="AO22" i="4"/>
  <c r="AP22" i="4"/>
  <c r="AP23" i="4" s="1"/>
  <c r="AQ22" i="4"/>
  <c r="AR22" i="4"/>
  <c r="AR23" i="4" s="1"/>
  <c r="AS22" i="4"/>
  <c r="AT22" i="4"/>
  <c r="AT23" i="4" s="1"/>
  <c r="AU22" i="4"/>
  <c r="AV22" i="4"/>
  <c r="AV23" i="4" s="1"/>
  <c r="AW22" i="4"/>
  <c r="AX22" i="4"/>
  <c r="AX23" i="4" s="1"/>
  <c r="AY22" i="4"/>
  <c r="AY23" i="4" s="1"/>
  <c r="AZ22" i="4"/>
  <c r="AZ23" i="4" s="1"/>
  <c r="BA22" i="4"/>
  <c r="BA23" i="4" s="1"/>
  <c r="BB22" i="4"/>
  <c r="BB23" i="4" s="1"/>
  <c r="BC22" i="4"/>
  <c r="BC23" i="4" s="1"/>
  <c r="BD22" i="4"/>
  <c r="BD23" i="4" s="1"/>
  <c r="BE22" i="4"/>
  <c r="BE23" i="4" s="1"/>
  <c r="BF22" i="4"/>
  <c r="BF23" i="4" s="1"/>
  <c r="BG22" i="4"/>
  <c r="BG23" i="4" s="1"/>
  <c r="BH22" i="4"/>
  <c r="BH23" i="4" s="1"/>
  <c r="BI22" i="4"/>
  <c r="BJ22" i="4"/>
  <c r="BJ23" i="4" s="1"/>
  <c r="BK22" i="4"/>
  <c r="BL22" i="4"/>
  <c r="BL23" i="4" s="1"/>
  <c r="BM22" i="4"/>
  <c r="BN22" i="4"/>
  <c r="BN23" i="4" s="1"/>
  <c r="BO22" i="4"/>
  <c r="BP22" i="4"/>
  <c r="BP23" i="4" s="1"/>
  <c r="BQ22" i="4"/>
  <c r="BR22" i="4"/>
  <c r="BR23" i="4" s="1"/>
  <c r="BS22" i="4"/>
  <c r="BT22" i="4"/>
  <c r="BT23" i="4" s="1"/>
  <c r="BU22" i="4"/>
  <c r="BV22" i="4"/>
  <c r="BV23" i="4" s="1"/>
  <c r="BW22" i="4"/>
  <c r="BW23" i="4" s="1"/>
  <c r="BX22" i="4"/>
  <c r="BX23" i="4" s="1"/>
  <c r="BY22" i="4"/>
  <c r="BZ22" i="4"/>
  <c r="BZ23" i="4" s="1"/>
  <c r="CA22" i="4"/>
  <c r="CA23" i="4" s="1"/>
  <c r="CB22" i="4"/>
  <c r="CB23" i="4" s="1"/>
  <c r="CC22" i="4"/>
  <c r="CD22" i="4"/>
  <c r="CD23" i="4" s="1"/>
  <c r="CE22" i="4"/>
  <c r="CF22" i="4"/>
  <c r="CF23" i="4" s="1"/>
  <c r="CG22" i="4"/>
  <c r="CH22" i="4"/>
  <c r="CH23" i="4" s="1"/>
  <c r="CI22" i="4"/>
  <c r="CJ22" i="4"/>
  <c r="CJ23" i="4" s="1"/>
  <c r="CK22" i="4"/>
  <c r="CL22" i="4"/>
  <c r="CL23" i="4" s="1"/>
  <c r="CM22" i="4"/>
  <c r="CM23" i="4" s="1"/>
  <c r="CN22" i="4"/>
  <c r="CN23" i="4" s="1"/>
  <c r="CO22" i="4"/>
  <c r="CO23" i="4" s="1"/>
  <c r="CP22" i="4"/>
  <c r="CP23" i="4" s="1"/>
  <c r="CQ22" i="4"/>
  <c r="CQ23" i="4" s="1"/>
  <c r="CR22" i="4"/>
  <c r="CR23" i="4" s="1"/>
  <c r="CS22" i="4"/>
  <c r="CS23" i="4" s="1"/>
  <c r="CT22" i="4"/>
  <c r="CT23" i="4" s="1"/>
  <c r="CU22" i="4"/>
  <c r="CU23" i="4" s="1"/>
  <c r="CV22" i="4"/>
  <c r="CV23" i="4" s="1"/>
  <c r="CW22" i="4"/>
  <c r="CW23" i="4" s="1"/>
  <c r="CX22" i="4"/>
  <c r="CY22" i="4"/>
  <c r="U23" i="4"/>
  <c r="W23" i="4"/>
  <c r="Y23" i="4"/>
  <c r="AA23" i="4"/>
  <c r="AC23" i="4"/>
  <c r="AE23" i="4"/>
  <c r="AG23" i="4"/>
  <c r="AK23" i="4"/>
  <c r="AO23" i="4"/>
  <c r="AQ23" i="4"/>
  <c r="AS23" i="4"/>
  <c r="AU23" i="4"/>
  <c r="AW23" i="4"/>
  <c r="BI23" i="4"/>
  <c r="BK23" i="4"/>
  <c r="BM23" i="4"/>
  <c r="BO23" i="4"/>
  <c r="BQ23" i="4"/>
  <c r="BS23" i="4"/>
  <c r="BU23" i="4"/>
  <c r="BY23" i="4"/>
  <c r="CC23" i="4"/>
  <c r="CE23" i="4"/>
  <c r="CG23" i="4"/>
  <c r="CI23" i="4"/>
  <c r="CK23" i="4"/>
  <c r="CX23" i="4"/>
  <c r="CY23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I19" i="4"/>
  <c r="J19" i="4"/>
  <c r="K19" i="4"/>
  <c r="L19" i="4"/>
  <c r="L20" i="4" s="1"/>
  <c r="M19" i="4"/>
  <c r="N19" i="4"/>
  <c r="I20" i="4"/>
  <c r="J20" i="4"/>
  <c r="K20" i="4"/>
  <c r="M20" i="4"/>
  <c r="N20" i="4"/>
  <c r="I22" i="4"/>
  <c r="J22" i="4"/>
  <c r="K22" i="4"/>
  <c r="K23" i="4" s="1"/>
  <c r="L22" i="4"/>
  <c r="L23" i="4" s="1"/>
  <c r="M22" i="4"/>
  <c r="M23" i="4" s="1"/>
  <c r="N22" i="4"/>
  <c r="I23" i="4"/>
  <c r="J23" i="4"/>
  <c r="N23" i="4"/>
  <c r="I26" i="4"/>
  <c r="J26" i="4"/>
  <c r="K26" i="4"/>
  <c r="L26" i="4"/>
  <c r="M26" i="4"/>
  <c r="N26" i="4"/>
  <c r="H12" i="2"/>
  <c r="I12" i="2"/>
  <c r="K12" i="2"/>
  <c r="M12" i="2"/>
  <c r="O12" i="2"/>
  <c r="P12" i="2"/>
  <c r="Q12" i="2" s="1"/>
  <c r="R12" i="2"/>
  <c r="S12" i="2"/>
  <c r="H14" i="2"/>
  <c r="I14" i="2"/>
  <c r="K14" i="2"/>
  <c r="M14" i="2"/>
  <c r="O14" i="2"/>
  <c r="P14" i="2"/>
  <c r="Q14" i="2" s="1"/>
  <c r="R14" i="2"/>
  <c r="S14" i="2"/>
  <c r="I16" i="2"/>
  <c r="K16" i="2"/>
  <c r="M16" i="2"/>
  <c r="O16" i="2"/>
  <c r="P16" i="2"/>
  <c r="Q16" i="2" s="1"/>
  <c r="R16" i="2"/>
  <c r="S16" i="2"/>
  <c r="H17" i="2"/>
  <c r="I17" i="2"/>
  <c r="K17" i="2"/>
  <c r="M17" i="2"/>
  <c r="O17" i="2"/>
  <c r="P17" i="2"/>
  <c r="Q17" i="2" s="1"/>
  <c r="R17" i="2"/>
  <c r="S17" i="2"/>
  <c r="H18" i="2"/>
  <c r="I18" i="2"/>
  <c r="K18" i="2"/>
  <c r="M18" i="2"/>
  <c r="O18" i="2"/>
  <c r="P18" i="2"/>
  <c r="Q18" i="2" s="1"/>
  <c r="R18" i="2"/>
  <c r="S18" i="2"/>
  <c r="H19" i="2"/>
  <c r="I19" i="2"/>
  <c r="K19" i="2"/>
  <c r="M19" i="2"/>
  <c r="O19" i="2"/>
  <c r="P19" i="2"/>
  <c r="Q19" i="2" s="1"/>
  <c r="R19" i="2"/>
  <c r="S19" i="2"/>
  <c r="H20" i="2"/>
  <c r="I20" i="2"/>
  <c r="K20" i="2"/>
  <c r="M20" i="2"/>
  <c r="O20" i="2"/>
  <c r="P20" i="2"/>
  <c r="Q20" i="2" s="1"/>
  <c r="R20" i="2"/>
  <c r="S20" i="2"/>
  <c r="H21" i="2"/>
  <c r="I21" i="2"/>
  <c r="K21" i="2"/>
  <c r="M21" i="2"/>
  <c r="O21" i="2"/>
  <c r="P21" i="2"/>
  <c r="Q21" i="2" s="1"/>
  <c r="R21" i="2"/>
  <c r="S21" i="2"/>
  <c r="H22" i="2"/>
  <c r="I22" i="2"/>
  <c r="K22" i="2"/>
  <c r="M22" i="2"/>
  <c r="O22" i="2"/>
  <c r="P22" i="2"/>
  <c r="Q22" i="2" s="1"/>
  <c r="R22" i="2"/>
  <c r="S22" i="2"/>
  <c r="H23" i="2"/>
  <c r="I23" i="2"/>
  <c r="K23" i="2"/>
  <c r="M23" i="2"/>
  <c r="O23" i="2"/>
  <c r="P23" i="2"/>
  <c r="Q23" i="2" s="1"/>
  <c r="R23" i="2"/>
  <c r="S23" i="2"/>
  <c r="H24" i="2"/>
  <c r="I24" i="2"/>
  <c r="K24" i="2"/>
  <c r="M24" i="2"/>
  <c r="O24" i="2"/>
  <c r="P24" i="2"/>
  <c r="Q24" i="2" s="1"/>
  <c r="R24" i="2"/>
  <c r="S24" i="2"/>
  <c r="H25" i="2"/>
  <c r="I25" i="2"/>
  <c r="K25" i="2"/>
  <c r="M25" i="2"/>
  <c r="O25" i="2"/>
  <c r="P25" i="2"/>
  <c r="Q25" i="2" s="1"/>
  <c r="R25" i="2"/>
  <c r="S25" i="2"/>
  <c r="H26" i="2"/>
  <c r="I26" i="2"/>
  <c r="K26" i="2"/>
  <c r="M26" i="2"/>
  <c r="O26" i="2"/>
  <c r="P26" i="2"/>
  <c r="Q26" i="2" s="1"/>
  <c r="R26" i="2"/>
  <c r="S26" i="2"/>
  <c r="H27" i="2"/>
  <c r="I27" i="2"/>
  <c r="K27" i="2"/>
  <c r="M27" i="2"/>
  <c r="O27" i="2"/>
  <c r="P27" i="2"/>
  <c r="Q27" i="2" s="1"/>
  <c r="R27" i="2"/>
  <c r="S27" i="2"/>
  <c r="H28" i="2"/>
  <c r="I28" i="2"/>
  <c r="K28" i="2"/>
  <c r="M28" i="2"/>
  <c r="O28" i="2"/>
  <c r="P28" i="2"/>
  <c r="Q28" i="2" s="1"/>
  <c r="R28" i="2"/>
  <c r="S28" i="2"/>
  <c r="H29" i="2"/>
  <c r="I29" i="2"/>
  <c r="K29" i="2"/>
  <c r="M29" i="2"/>
  <c r="O29" i="2"/>
  <c r="P29" i="2"/>
  <c r="Q29" i="2" s="1"/>
  <c r="R29" i="2"/>
  <c r="S29" i="2"/>
  <c r="H30" i="2"/>
  <c r="I30" i="2"/>
  <c r="K30" i="2"/>
  <c r="M30" i="2"/>
  <c r="O30" i="2"/>
  <c r="P30" i="2"/>
  <c r="Q30" i="2" s="1"/>
  <c r="R30" i="2"/>
  <c r="S30" i="2"/>
  <c r="H31" i="2"/>
  <c r="I31" i="2"/>
  <c r="K31" i="2"/>
  <c r="M31" i="2"/>
  <c r="O31" i="2"/>
  <c r="P31" i="2"/>
  <c r="Q31" i="2" s="1"/>
  <c r="R31" i="2"/>
  <c r="S31" i="2"/>
  <c r="H32" i="2"/>
  <c r="I32" i="2"/>
  <c r="K32" i="2"/>
  <c r="M32" i="2"/>
  <c r="O32" i="2"/>
  <c r="P32" i="2"/>
  <c r="Q32" i="2" s="1"/>
  <c r="R32" i="2"/>
  <c r="S32" i="2"/>
  <c r="H33" i="2"/>
  <c r="I33" i="2"/>
  <c r="K33" i="2"/>
  <c r="M33" i="2"/>
  <c r="O33" i="2"/>
  <c r="P33" i="2"/>
  <c r="Q33" i="2" s="1"/>
  <c r="R33" i="2"/>
  <c r="S33" i="2"/>
  <c r="H34" i="2"/>
  <c r="I34" i="2"/>
  <c r="K34" i="2"/>
  <c r="M34" i="2"/>
  <c r="O34" i="2"/>
  <c r="P34" i="2"/>
  <c r="Q34" i="2" s="1"/>
  <c r="R34" i="2"/>
  <c r="S34" i="2"/>
  <c r="H35" i="2"/>
  <c r="I35" i="2"/>
  <c r="K35" i="2"/>
  <c r="M35" i="2"/>
  <c r="O35" i="2"/>
  <c r="P35" i="2"/>
  <c r="Q35" i="2" s="1"/>
  <c r="R35" i="2"/>
  <c r="S35" i="2"/>
  <c r="H36" i="2"/>
  <c r="I36" i="2"/>
  <c r="K36" i="2"/>
  <c r="M36" i="2"/>
  <c r="O36" i="2"/>
  <c r="P36" i="2"/>
  <c r="Q36" i="2" s="1"/>
  <c r="R36" i="2"/>
  <c r="S36" i="2"/>
  <c r="H37" i="2"/>
  <c r="I37" i="2"/>
  <c r="K37" i="2"/>
  <c r="M37" i="2"/>
  <c r="O37" i="2"/>
  <c r="P37" i="2"/>
  <c r="Q37" i="2" s="1"/>
  <c r="R37" i="2"/>
  <c r="S37" i="2"/>
  <c r="H38" i="2"/>
  <c r="I38" i="2"/>
  <c r="K38" i="2"/>
  <c r="M38" i="2"/>
  <c r="O38" i="2"/>
  <c r="P38" i="2"/>
  <c r="Q38" i="2" s="1"/>
  <c r="R38" i="2"/>
  <c r="S38" i="2"/>
  <c r="H39" i="2"/>
  <c r="I39" i="2"/>
  <c r="K39" i="2"/>
  <c r="M39" i="2"/>
  <c r="O39" i="2"/>
  <c r="P39" i="2"/>
  <c r="Q39" i="2" s="1"/>
  <c r="R39" i="2"/>
  <c r="S39" i="2"/>
  <c r="H40" i="2"/>
  <c r="I40" i="2"/>
  <c r="K40" i="2"/>
  <c r="M40" i="2"/>
  <c r="O40" i="2"/>
  <c r="P40" i="2"/>
  <c r="Q40" i="2" s="1"/>
  <c r="R40" i="2"/>
  <c r="S40" i="2"/>
  <c r="H41" i="2"/>
  <c r="I41" i="2"/>
  <c r="K41" i="2"/>
  <c r="M41" i="2"/>
  <c r="O41" i="2"/>
  <c r="P41" i="2"/>
  <c r="Q41" i="2" s="1"/>
  <c r="R41" i="2"/>
  <c r="S41" i="2"/>
  <c r="H42" i="2"/>
  <c r="I42" i="2"/>
  <c r="K42" i="2"/>
  <c r="M42" i="2"/>
  <c r="O42" i="2"/>
  <c r="P42" i="2"/>
  <c r="Q42" i="2" s="1"/>
  <c r="R42" i="2"/>
  <c r="S42" i="2"/>
  <c r="H43" i="2"/>
  <c r="I43" i="2"/>
  <c r="K43" i="2"/>
  <c r="M43" i="2"/>
  <c r="O43" i="2"/>
  <c r="P43" i="2"/>
  <c r="Q43" i="2" s="1"/>
  <c r="R43" i="2"/>
  <c r="S43" i="2"/>
  <c r="H44" i="2"/>
  <c r="I44" i="2"/>
  <c r="K44" i="2"/>
  <c r="M44" i="2"/>
  <c r="O44" i="2"/>
  <c r="P44" i="2"/>
  <c r="Q44" i="2" s="1"/>
  <c r="R44" i="2"/>
  <c r="S44" i="2"/>
  <c r="H45" i="2"/>
  <c r="I45" i="2"/>
  <c r="K45" i="2"/>
  <c r="M45" i="2"/>
  <c r="O45" i="2"/>
  <c r="P45" i="2"/>
  <c r="Q45" i="2" s="1"/>
  <c r="R45" i="2"/>
  <c r="S45" i="2"/>
  <c r="H46" i="2"/>
  <c r="I46" i="2"/>
  <c r="K46" i="2"/>
  <c r="M46" i="2"/>
  <c r="O46" i="2"/>
  <c r="P46" i="2"/>
  <c r="Q46" i="2" s="1"/>
  <c r="R46" i="2"/>
  <c r="S46" i="2"/>
  <c r="H47" i="2"/>
  <c r="I47" i="2"/>
  <c r="K47" i="2"/>
  <c r="M47" i="2"/>
  <c r="O47" i="2"/>
  <c r="P47" i="2"/>
  <c r="Q47" i="2" s="1"/>
  <c r="R47" i="2"/>
  <c r="S47" i="2"/>
  <c r="H48" i="2"/>
  <c r="I48" i="2"/>
  <c r="K48" i="2"/>
  <c r="M48" i="2"/>
  <c r="O48" i="2"/>
  <c r="P48" i="2"/>
  <c r="Q48" i="2" s="1"/>
  <c r="R48" i="2"/>
  <c r="S48" i="2"/>
  <c r="H49" i="2"/>
  <c r="I49" i="2"/>
  <c r="K49" i="2"/>
  <c r="M49" i="2"/>
  <c r="O49" i="2"/>
  <c r="P49" i="2"/>
  <c r="Q49" i="2" s="1"/>
  <c r="R49" i="2"/>
  <c r="S49" i="2"/>
  <c r="H50" i="2"/>
  <c r="I50" i="2"/>
  <c r="K50" i="2"/>
  <c r="M50" i="2"/>
  <c r="O50" i="2"/>
  <c r="P50" i="2"/>
  <c r="Q50" i="2" s="1"/>
  <c r="R50" i="2"/>
  <c r="S50" i="2"/>
  <c r="H51" i="2"/>
  <c r="I51" i="2"/>
  <c r="K51" i="2"/>
  <c r="M51" i="2"/>
  <c r="O51" i="2"/>
  <c r="P51" i="2"/>
  <c r="Q51" i="2" s="1"/>
  <c r="R51" i="2"/>
  <c r="S51" i="2"/>
  <c r="H52" i="2"/>
  <c r="I52" i="2"/>
  <c r="K52" i="2"/>
  <c r="M52" i="2"/>
  <c r="O52" i="2"/>
  <c r="P52" i="2"/>
  <c r="Q52" i="2" s="1"/>
  <c r="R52" i="2"/>
  <c r="S52" i="2"/>
  <c r="H53" i="2"/>
  <c r="I53" i="2"/>
  <c r="K53" i="2"/>
  <c r="M53" i="2"/>
  <c r="O53" i="2"/>
  <c r="P53" i="2"/>
  <c r="Q53" i="2" s="1"/>
  <c r="R53" i="2"/>
  <c r="S53" i="2"/>
  <c r="H54" i="2"/>
  <c r="I54" i="2"/>
  <c r="K54" i="2"/>
  <c r="M54" i="2"/>
  <c r="O54" i="2"/>
  <c r="P54" i="2"/>
  <c r="Q54" i="2" s="1"/>
  <c r="R54" i="2"/>
  <c r="S54" i="2"/>
  <c r="H55" i="2"/>
  <c r="I55" i="2"/>
  <c r="K55" i="2"/>
  <c r="M55" i="2"/>
  <c r="O55" i="2"/>
  <c r="P55" i="2"/>
  <c r="Q55" i="2" s="1"/>
  <c r="R55" i="2"/>
  <c r="S55" i="2"/>
  <c r="H56" i="2"/>
  <c r="I56" i="2"/>
  <c r="K56" i="2"/>
  <c r="M56" i="2"/>
  <c r="O56" i="2"/>
  <c r="P56" i="2"/>
  <c r="Q56" i="2" s="1"/>
  <c r="R56" i="2"/>
  <c r="S56" i="2"/>
  <c r="H57" i="2"/>
  <c r="I57" i="2"/>
  <c r="K57" i="2"/>
  <c r="M57" i="2"/>
  <c r="O57" i="2"/>
  <c r="P57" i="2"/>
  <c r="Q57" i="2" s="1"/>
  <c r="R57" i="2"/>
  <c r="S57" i="2"/>
  <c r="H58" i="2"/>
  <c r="I58" i="2"/>
  <c r="K58" i="2"/>
  <c r="M58" i="2"/>
  <c r="O58" i="2"/>
  <c r="P58" i="2"/>
  <c r="Q58" i="2" s="1"/>
  <c r="R58" i="2"/>
  <c r="S58" i="2"/>
  <c r="H59" i="2"/>
  <c r="I59" i="2"/>
  <c r="K59" i="2"/>
  <c r="M59" i="2"/>
  <c r="O59" i="2"/>
  <c r="P59" i="2"/>
  <c r="Q59" i="2" s="1"/>
  <c r="R59" i="2"/>
  <c r="S59" i="2"/>
  <c r="H60" i="2"/>
  <c r="I60" i="2"/>
  <c r="K60" i="2"/>
  <c r="M60" i="2"/>
  <c r="O60" i="2"/>
  <c r="P60" i="2"/>
  <c r="Q60" i="2" s="1"/>
  <c r="R60" i="2"/>
  <c r="S60" i="2"/>
  <c r="H61" i="2"/>
  <c r="I61" i="2"/>
  <c r="K61" i="2"/>
  <c r="M61" i="2"/>
  <c r="O61" i="2"/>
  <c r="P61" i="2"/>
  <c r="Q61" i="2" s="1"/>
  <c r="R61" i="2"/>
  <c r="S61" i="2"/>
  <c r="H62" i="2"/>
  <c r="I62" i="2"/>
  <c r="K62" i="2"/>
  <c r="M62" i="2"/>
  <c r="O62" i="2"/>
  <c r="P62" i="2"/>
  <c r="Q62" i="2" s="1"/>
  <c r="R62" i="2"/>
  <c r="S62" i="2"/>
  <c r="H63" i="2"/>
  <c r="I63" i="2"/>
  <c r="K63" i="2"/>
  <c r="M63" i="2"/>
  <c r="O63" i="2"/>
  <c r="P63" i="2"/>
  <c r="Q63" i="2" s="1"/>
  <c r="R63" i="2"/>
  <c r="S63" i="2"/>
  <c r="H64" i="2"/>
  <c r="I64" i="2"/>
  <c r="K64" i="2"/>
  <c r="M64" i="2"/>
  <c r="O64" i="2"/>
  <c r="P64" i="2"/>
  <c r="Q64" i="2" s="1"/>
  <c r="R64" i="2"/>
  <c r="S64" i="2"/>
  <c r="H65" i="2"/>
  <c r="I65" i="2"/>
  <c r="K65" i="2"/>
  <c r="M65" i="2"/>
  <c r="O65" i="2"/>
  <c r="P65" i="2"/>
  <c r="Q65" i="2" s="1"/>
  <c r="R65" i="2"/>
  <c r="S65" i="2"/>
  <c r="H66" i="2"/>
  <c r="I66" i="2"/>
  <c r="K66" i="2"/>
  <c r="M66" i="2"/>
  <c r="O66" i="2"/>
  <c r="P66" i="2"/>
  <c r="Q66" i="2" s="1"/>
  <c r="R66" i="2"/>
  <c r="S66" i="2"/>
  <c r="H67" i="2"/>
  <c r="I67" i="2"/>
  <c r="K67" i="2"/>
  <c r="M67" i="2"/>
  <c r="O67" i="2"/>
  <c r="P67" i="2"/>
  <c r="Q67" i="2" s="1"/>
  <c r="R67" i="2"/>
  <c r="S67" i="2"/>
  <c r="H68" i="2"/>
  <c r="I68" i="2"/>
  <c r="K68" i="2"/>
  <c r="M68" i="2"/>
  <c r="O68" i="2"/>
  <c r="P68" i="2"/>
  <c r="Q68" i="2" s="1"/>
  <c r="R68" i="2"/>
  <c r="S68" i="2"/>
  <c r="H69" i="2"/>
  <c r="I69" i="2"/>
  <c r="K69" i="2"/>
  <c r="M69" i="2"/>
  <c r="O69" i="2"/>
  <c r="P69" i="2"/>
  <c r="Q69" i="2" s="1"/>
  <c r="R69" i="2"/>
  <c r="S69" i="2"/>
  <c r="H70" i="2"/>
  <c r="I70" i="2"/>
  <c r="K70" i="2"/>
  <c r="M70" i="2"/>
  <c r="O70" i="2"/>
  <c r="P70" i="2"/>
  <c r="Q70" i="2" s="1"/>
  <c r="R70" i="2"/>
  <c r="S70" i="2"/>
  <c r="H71" i="2"/>
  <c r="I71" i="2"/>
  <c r="K71" i="2"/>
  <c r="M71" i="2"/>
  <c r="O71" i="2"/>
  <c r="P71" i="2"/>
  <c r="Q71" i="2" s="1"/>
  <c r="R71" i="2"/>
  <c r="S71" i="2"/>
  <c r="H72" i="2"/>
  <c r="I72" i="2"/>
  <c r="K72" i="2"/>
  <c r="M72" i="2"/>
  <c r="O72" i="2"/>
  <c r="P72" i="2"/>
  <c r="Q72" i="2" s="1"/>
  <c r="R72" i="2"/>
  <c r="S72" i="2"/>
  <c r="H73" i="2"/>
  <c r="I73" i="2"/>
  <c r="K73" i="2"/>
  <c r="M73" i="2"/>
  <c r="O73" i="2"/>
  <c r="P73" i="2"/>
  <c r="Q73" i="2" s="1"/>
  <c r="R73" i="2"/>
  <c r="S73" i="2"/>
  <c r="H74" i="2"/>
  <c r="I74" i="2"/>
  <c r="K74" i="2"/>
  <c r="M74" i="2"/>
  <c r="O74" i="2"/>
  <c r="P74" i="2"/>
  <c r="Q74" i="2" s="1"/>
  <c r="R74" i="2"/>
  <c r="S74" i="2"/>
  <c r="H75" i="2"/>
  <c r="I75" i="2"/>
  <c r="K75" i="2"/>
  <c r="M75" i="2"/>
  <c r="O75" i="2"/>
  <c r="P75" i="2"/>
  <c r="Q75" i="2" s="1"/>
  <c r="R75" i="2"/>
  <c r="S75" i="2"/>
  <c r="H76" i="2"/>
  <c r="I76" i="2"/>
  <c r="K76" i="2"/>
  <c r="M76" i="2"/>
  <c r="O76" i="2"/>
  <c r="P76" i="2"/>
  <c r="Q76" i="2" s="1"/>
  <c r="R76" i="2"/>
  <c r="S76" i="2"/>
  <c r="H77" i="2"/>
  <c r="I77" i="2"/>
  <c r="K77" i="2"/>
  <c r="M77" i="2"/>
  <c r="O77" i="2"/>
  <c r="P77" i="2"/>
  <c r="Q77" i="2" s="1"/>
  <c r="R77" i="2"/>
  <c r="S77" i="2"/>
  <c r="H78" i="2"/>
  <c r="I78" i="2"/>
  <c r="K78" i="2"/>
  <c r="M78" i="2"/>
  <c r="O78" i="2"/>
  <c r="P78" i="2"/>
  <c r="Q78" i="2" s="1"/>
  <c r="R78" i="2"/>
  <c r="S78" i="2"/>
  <c r="H79" i="2"/>
  <c r="I79" i="2"/>
  <c r="K79" i="2"/>
  <c r="M79" i="2"/>
  <c r="O79" i="2"/>
  <c r="P79" i="2"/>
  <c r="Q79" i="2" s="1"/>
  <c r="R79" i="2"/>
  <c r="S79" i="2"/>
  <c r="H80" i="2"/>
  <c r="I80" i="2"/>
  <c r="K80" i="2"/>
  <c r="M80" i="2"/>
  <c r="O80" i="2"/>
  <c r="P80" i="2"/>
  <c r="Q80" i="2" s="1"/>
  <c r="R80" i="2"/>
  <c r="S80" i="2"/>
  <c r="H81" i="2"/>
  <c r="I81" i="2"/>
  <c r="K81" i="2"/>
  <c r="M81" i="2"/>
  <c r="O81" i="2"/>
  <c r="P81" i="2"/>
  <c r="Q81" i="2" s="1"/>
  <c r="R81" i="2"/>
  <c r="S81" i="2"/>
  <c r="H82" i="2"/>
  <c r="I82" i="2"/>
  <c r="K82" i="2"/>
  <c r="M82" i="2"/>
  <c r="O82" i="2"/>
  <c r="P82" i="2"/>
  <c r="Q82" i="2" s="1"/>
  <c r="R82" i="2"/>
  <c r="S82" i="2"/>
  <c r="H83" i="2"/>
  <c r="I83" i="2"/>
  <c r="K83" i="2"/>
  <c r="M83" i="2"/>
  <c r="O83" i="2"/>
  <c r="P83" i="2"/>
  <c r="Q83" i="2" s="1"/>
  <c r="R83" i="2"/>
  <c r="S83" i="2"/>
  <c r="H84" i="2"/>
  <c r="I84" i="2"/>
  <c r="K84" i="2"/>
  <c r="M84" i="2"/>
  <c r="O84" i="2"/>
  <c r="P84" i="2"/>
  <c r="Q84" i="2" s="1"/>
  <c r="R84" i="2"/>
  <c r="S84" i="2"/>
  <c r="H85" i="2"/>
  <c r="I85" i="2"/>
  <c r="K85" i="2"/>
  <c r="M85" i="2"/>
  <c r="O85" i="2"/>
  <c r="P85" i="2"/>
  <c r="Q85" i="2" s="1"/>
  <c r="R85" i="2"/>
  <c r="S85" i="2"/>
  <c r="H86" i="2"/>
  <c r="I86" i="2"/>
  <c r="K86" i="2"/>
  <c r="M86" i="2"/>
  <c r="O86" i="2"/>
  <c r="P86" i="2"/>
  <c r="Q86" i="2" s="1"/>
  <c r="R86" i="2"/>
  <c r="S86" i="2"/>
  <c r="H87" i="2"/>
  <c r="I87" i="2"/>
  <c r="K87" i="2"/>
  <c r="M87" i="2"/>
  <c r="O87" i="2"/>
  <c r="P87" i="2"/>
  <c r="Q87" i="2" s="1"/>
  <c r="R87" i="2"/>
  <c r="S87" i="2"/>
  <c r="H88" i="2"/>
  <c r="I88" i="2"/>
  <c r="K88" i="2"/>
  <c r="M88" i="2"/>
  <c r="O88" i="2"/>
  <c r="P88" i="2"/>
  <c r="Q88" i="2" s="1"/>
  <c r="R88" i="2"/>
  <c r="S88" i="2"/>
  <c r="H89" i="2"/>
  <c r="I89" i="2"/>
  <c r="K89" i="2"/>
  <c r="M89" i="2"/>
  <c r="O89" i="2"/>
  <c r="P89" i="2"/>
  <c r="Q89" i="2" s="1"/>
  <c r="R89" i="2"/>
  <c r="S89" i="2"/>
  <c r="H90" i="2"/>
  <c r="I90" i="2"/>
  <c r="K90" i="2"/>
  <c r="M90" i="2"/>
  <c r="O90" i="2"/>
  <c r="P90" i="2"/>
  <c r="Q90" i="2" s="1"/>
  <c r="R90" i="2"/>
  <c r="S90" i="2"/>
  <c r="H91" i="2"/>
  <c r="I91" i="2"/>
  <c r="K91" i="2"/>
  <c r="M91" i="2"/>
  <c r="O91" i="2"/>
  <c r="P91" i="2"/>
  <c r="Q91" i="2" s="1"/>
  <c r="R91" i="2"/>
  <c r="S91" i="2"/>
  <c r="H92" i="2"/>
  <c r="I92" i="2"/>
  <c r="K92" i="2"/>
  <c r="M92" i="2"/>
  <c r="O92" i="2"/>
  <c r="P92" i="2"/>
  <c r="Q92" i="2" s="1"/>
  <c r="R92" i="2"/>
  <c r="S92" i="2"/>
  <c r="H93" i="2"/>
  <c r="I93" i="2"/>
  <c r="K93" i="2"/>
  <c r="M93" i="2"/>
  <c r="O93" i="2"/>
  <c r="P93" i="2"/>
  <c r="Q93" i="2" s="1"/>
  <c r="R93" i="2"/>
  <c r="S93" i="2"/>
  <c r="H94" i="2"/>
  <c r="I94" i="2"/>
  <c r="K94" i="2"/>
  <c r="M94" i="2"/>
  <c r="O94" i="2"/>
  <c r="P94" i="2"/>
  <c r="Q94" i="2" s="1"/>
  <c r="R94" i="2"/>
  <c r="S94" i="2"/>
  <c r="H95" i="2"/>
  <c r="I95" i="2"/>
  <c r="K95" i="2"/>
  <c r="M95" i="2"/>
  <c r="O95" i="2"/>
  <c r="P95" i="2"/>
  <c r="Q95" i="2" s="1"/>
  <c r="R95" i="2"/>
  <c r="S95" i="2"/>
  <c r="H96" i="2"/>
  <c r="I96" i="2"/>
  <c r="K96" i="2"/>
  <c r="M96" i="2"/>
  <c r="O96" i="2"/>
  <c r="P96" i="2"/>
  <c r="Q96" i="2" s="1"/>
  <c r="R96" i="2"/>
  <c r="S96" i="2"/>
  <c r="H97" i="2"/>
  <c r="I97" i="2"/>
  <c r="K97" i="2"/>
  <c r="M97" i="2"/>
  <c r="O97" i="2"/>
  <c r="P97" i="2"/>
  <c r="Q97" i="2" s="1"/>
  <c r="R97" i="2"/>
  <c r="S97" i="2"/>
  <c r="H98" i="2"/>
  <c r="I98" i="2"/>
  <c r="K98" i="2"/>
  <c r="M98" i="2"/>
  <c r="O98" i="2"/>
  <c r="P98" i="2"/>
  <c r="Q98" i="2" s="1"/>
  <c r="R98" i="2"/>
  <c r="S98" i="2"/>
  <c r="H99" i="2"/>
  <c r="I99" i="2"/>
  <c r="K99" i="2"/>
  <c r="M99" i="2"/>
  <c r="O99" i="2"/>
  <c r="P99" i="2"/>
  <c r="Q99" i="2" s="1"/>
  <c r="R99" i="2"/>
  <c r="S99" i="2"/>
  <c r="H100" i="2"/>
  <c r="I100" i="2"/>
  <c r="K100" i="2"/>
  <c r="M100" i="2"/>
  <c r="O100" i="2"/>
  <c r="P100" i="2"/>
  <c r="Q100" i="2" s="1"/>
  <c r="R100" i="2"/>
  <c r="S100" i="2"/>
  <c r="H101" i="2"/>
  <c r="I101" i="2"/>
  <c r="K101" i="2"/>
  <c r="M101" i="2"/>
  <c r="O101" i="2"/>
  <c r="P101" i="2"/>
  <c r="Q101" i="2" s="1"/>
  <c r="R101" i="2"/>
  <c r="S101" i="2"/>
  <c r="H102" i="2"/>
  <c r="I102" i="2"/>
  <c r="K102" i="2"/>
  <c r="M102" i="2"/>
  <c r="O102" i="2"/>
  <c r="P102" i="2"/>
  <c r="Q102" i="2" s="1"/>
  <c r="R102" i="2"/>
  <c r="S102" i="2"/>
  <c r="H103" i="2"/>
  <c r="I103" i="2"/>
  <c r="K103" i="2"/>
  <c r="M103" i="2"/>
  <c r="O103" i="2"/>
  <c r="P103" i="2"/>
  <c r="Q103" i="2" s="1"/>
  <c r="R103" i="2"/>
  <c r="S103" i="2"/>
  <c r="H104" i="2"/>
  <c r="I104" i="2"/>
  <c r="K104" i="2"/>
  <c r="M104" i="2"/>
  <c r="O104" i="2"/>
  <c r="P104" i="2"/>
  <c r="Q104" i="2" s="1"/>
  <c r="R104" i="2"/>
  <c r="S104" i="2"/>
  <c r="H105" i="2"/>
  <c r="I105" i="2"/>
  <c r="K105" i="2"/>
  <c r="M105" i="2"/>
  <c r="O105" i="2"/>
  <c r="P105" i="2"/>
  <c r="Q105" i="2" s="1"/>
  <c r="R105" i="2"/>
  <c r="S105" i="2"/>
  <c r="H106" i="2"/>
  <c r="I106" i="2"/>
  <c r="K106" i="2"/>
  <c r="M106" i="2"/>
  <c r="O106" i="2"/>
  <c r="P106" i="2"/>
  <c r="Q106" i="2" s="1"/>
  <c r="R106" i="2"/>
  <c r="S106" i="2"/>
  <c r="H107" i="2"/>
  <c r="I107" i="2"/>
  <c r="K107" i="2"/>
  <c r="M107" i="2"/>
  <c r="O107" i="2"/>
  <c r="P107" i="2"/>
  <c r="Q107" i="2" s="1"/>
  <c r="R107" i="2"/>
  <c r="S107" i="2"/>
  <c r="H108" i="2"/>
  <c r="I108" i="2"/>
  <c r="K108" i="2"/>
  <c r="M108" i="2"/>
  <c r="O108" i="2"/>
  <c r="P108" i="2"/>
  <c r="Q108" i="2" s="1"/>
  <c r="R108" i="2"/>
  <c r="S108" i="2"/>
  <c r="H109" i="2"/>
  <c r="I109" i="2"/>
  <c r="K109" i="2"/>
  <c r="M109" i="2"/>
  <c r="O109" i="2"/>
  <c r="P109" i="2"/>
  <c r="Q109" i="2" s="1"/>
  <c r="R109" i="2"/>
  <c r="S109" i="2"/>
  <c r="H110" i="2"/>
  <c r="I110" i="2"/>
  <c r="K110" i="2"/>
  <c r="M110" i="2"/>
  <c r="O110" i="2"/>
  <c r="P110" i="2"/>
  <c r="Q110" i="2" s="1"/>
  <c r="R110" i="2"/>
  <c r="S110" i="2"/>
  <c r="H111" i="2"/>
  <c r="I111" i="2"/>
  <c r="K111" i="2"/>
  <c r="M111" i="2"/>
  <c r="O111" i="2"/>
  <c r="P111" i="2"/>
  <c r="Q111" i="2" s="1"/>
  <c r="R111" i="2"/>
  <c r="S111" i="2"/>
  <c r="H112" i="2"/>
  <c r="I112" i="2"/>
  <c r="K112" i="2"/>
  <c r="M112" i="2"/>
  <c r="O112" i="2"/>
  <c r="P112" i="2"/>
  <c r="Q112" i="2" s="1"/>
  <c r="R112" i="2"/>
  <c r="S112" i="2"/>
  <c r="H113" i="2"/>
  <c r="I113" i="2"/>
  <c r="K113" i="2"/>
  <c r="M113" i="2"/>
  <c r="O113" i="2"/>
  <c r="P113" i="2"/>
  <c r="Q113" i="2" s="1"/>
  <c r="R113" i="2"/>
  <c r="S113" i="2"/>
  <c r="H114" i="2"/>
  <c r="I114" i="2"/>
  <c r="K114" i="2"/>
  <c r="M114" i="2"/>
  <c r="O114" i="2"/>
  <c r="P114" i="2"/>
  <c r="Q114" i="2" s="1"/>
  <c r="R114" i="2"/>
  <c r="S114" i="2"/>
  <c r="H115" i="2"/>
  <c r="I115" i="2"/>
  <c r="K115" i="2"/>
  <c r="M115" i="2"/>
  <c r="O115" i="2"/>
  <c r="P115" i="2"/>
  <c r="Q115" i="2" s="1"/>
  <c r="R115" i="2"/>
  <c r="S115" i="2"/>
  <c r="H116" i="2"/>
  <c r="I116" i="2"/>
  <c r="K116" i="2"/>
  <c r="M116" i="2"/>
  <c r="O116" i="2"/>
  <c r="P116" i="2"/>
  <c r="Q116" i="2" s="1"/>
  <c r="R116" i="2"/>
  <c r="S116" i="2"/>
  <c r="H117" i="2"/>
  <c r="I117" i="2"/>
  <c r="K117" i="2"/>
  <c r="M117" i="2"/>
  <c r="O117" i="2"/>
  <c r="P117" i="2"/>
  <c r="Q117" i="2" s="1"/>
  <c r="R117" i="2"/>
  <c r="S117" i="2"/>
  <c r="H118" i="2"/>
  <c r="I118" i="2"/>
  <c r="K118" i="2"/>
  <c r="M118" i="2"/>
  <c r="O118" i="2"/>
  <c r="P118" i="2"/>
  <c r="Q118" i="2" s="1"/>
  <c r="R118" i="2"/>
  <c r="S118" i="2"/>
  <c r="H119" i="2"/>
  <c r="I119" i="2"/>
  <c r="K119" i="2"/>
  <c r="M119" i="2"/>
  <c r="O119" i="2"/>
  <c r="P119" i="2"/>
  <c r="Q119" i="2" s="1"/>
  <c r="R119" i="2"/>
  <c r="S119" i="2"/>
  <c r="H120" i="2"/>
  <c r="I120" i="2"/>
  <c r="K120" i="2"/>
  <c r="M120" i="2"/>
  <c r="O120" i="2"/>
  <c r="P120" i="2"/>
  <c r="Q120" i="2" s="1"/>
  <c r="R120" i="2"/>
  <c r="S120" i="2"/>
  <c r="H121" i="2"/>
  <c r="I121" i="2"/>
  <c r="K121" i="2"/>
  <c r="M121" i="2"/>
  <c r="O121" i="2"/>
  <c r="P121" i="2"/>
  <c r="Q121" i="2" s="1"/>
  <c r="R121" i="2"/>
  <c r="S121" i="2"/>
  <c r="H122" i="2"/>
  <c r="I122" i="2"/>
  <c r="K122" i="2"/>
  <c r="M122" i="2"/>
  <c r="O122" i="2"/>
  <c r="P122" i="2"/>
  <c r="Q122" i="2" s="1"/>
  <c r="R122" i="2"/>
  <c r="S122" i="2"/>
  <c r="H123" i="2"/>
  <c r="I123" i="2"/>
  <c r="K123" i="2"/>
  <c r="M123" i="2"/>
  <c r="O123" i="2"/>
  <c r="P123" i="2"/>
  <c r="Q123" i="2" s="1"/>
  <c r="R123" i="2"/>
  <c r="S123" i="2"/>
  <c r="H124" i="2"/>
  <c r="I124" i="2"/>
  <c r="K124" i="2"/>
  <c r="M124" i="2"/>
  <c r="O124" i="2"/>
  <c r="P124" i="2"/>
  <c r="Q124" i="2" s="1"/>
  <c r="R124" i="2"/>
  <c r="S124" i="2"/>
  <c r="H125" i="2"/>
  <c r="I125" i="2"/>
  <c r="K125" i="2"/>
  <c r="M125" i="2"/>
  <c r="O125" i="2"/>
  <c r="P125" i="2"/>
  <c r="Q125" i="2" s="1"/>
  <c r="R125" i="2"/>
  <c r="S125" i="2"/>
  <c r="H126" i="2"/>
  <c r="I126" i="2"/>
  <c r="K126" i="2"/>
  <c r="M126" i="2"/>
  <c r="O126" i="2"/>
  <c r="P126" i="2"/>
  <c r="Q126" i="2" s="1"/>
  <c r="R126" i="2"/>
  <c r="S126" i="2"/>
  <c r="H127" i="2"/>
  <c r="I127" i="2"/>
  <c r="K127" i="2"/>
  <c r="M127" i="2"/>
  <c r="O127" i="2"/>
  <c r="P127" i="2"/>
  <c r="Q127" i="2" s="1"/>
  <c r="R127" i="2"/>
  <c r="S127" i="2"/>
  <c r="H128" i="2"/>
  <c r="I128" i="2"/>
  <c r="K128" i="2"/>
  <c r="M128" i="2"/>
  <c r="O128" i="2"/>
  <c r="P128" i="2"/>
  <c r="Q128" i="2" s="1"/>
  <c r="R128" i="2"/>
  <c r="S128" i="2"/>
  <c r="H129" i="2"/>
  <c r="I129" i="2"/>
  <c r="K129" i="2"/>
  <c r="M129" i="2"/>
  <c r="O129" i="2"/>
  <c r="P129" i="2"/>
  <c r="Q129" i="2" s="1"/>
  <c r="R129" i="2"/>
  <c r="S129" i="2"/>
  <c r="H130" i="2"/>
  <c r="I130" i="2"/>
  <c r="K130" i="2"/>
  <c r="M130" i="2"/>
  <c r="O130" i="2"/>
  <c r="P130" i="2"/>
  <c r="Q130" i="2" s="1"/>
  <c r="R130" i="2"/>
  <c r="S130" i="2"/>
  <c r="H131" i="2"/>
  <c r="I131" i="2"/>
  <c r="K131" i="2"/>
  <c r="M131" i="2"/>
  <c r="O131" i="2"/>
  <c r="P131" i="2"/>
  <c r="Q131" i="2" s="1"/>
  <c r="R131" i="2"/>
  <c r="S131" i="2"/>
  <c r="H132" i="2"/>
  <c r="I132" i="2"/>
  <c r="K132" i="2"/>
  <c r="M132" i="2"/>
  <c r="O132" i="2"/>
  <c r="P132" i="2"/>
  <c r="Q132" i="2" s="1"/>
  <c r="R132" i="2"/>
  <c r="S132" i="2"/>
  <c r="H133" i="2"/>
  <c r="I133" i="2"/>
  <c r="K133" i="2"/>
  <c r="M133" i="2"/>
  <c r="O133" i="2"/>
  <c r="P133" i="2"/>
  <c r="Q133" i="2" s="1"/>
  <c r="R133" i="2"/>
  <c r="S133" i="2"/>
  <c r="H134" i="2"/>
  <c r="I134" i="2"/>
  <c r="K134" i="2"/>
  <c r="M134" i="2"/>
  <c r="O134" i="2"/>
  <c r="P134" i="2"/>
  <c r="Q134" i="2" s="1"/>
  <c r="R134" i="2"/>
  <c r="S134" i="2"/>
  <c r="H135" i="2"/>
  <c r="I135" i="2"/>
  <c r="K135" i="2"/>
  <c r="M135" i="2"/>
  <c r="O135" i="2"/>
  <c r="P135" i="2"/>
  <c r="Q135" i="2" s="1"/>
  <c r="R135" i="2"/>
  <c r="S135" i="2"/>
  <c r="H136" i="2"/>
  <c r="I136" i="2"/>
  <c r="K136" i="2"/>
  <c r="M136" i="2"/>
  <c r="O136" i="2"/>
  <c r="P136" i="2"/>
  <c r="Q136" i="2" s="1"/>
  <c r="R136" i="2"/>
  <c r="S136" i="2"/>
  <c r="H137" i="2"/>
  <c r="I137" i="2"/>
  <c r="K137" i="2"/>
  <c r="M137" i="2"/>
  <c r="O137" i="2"/>
  <c r="P137" i="2"/>
  <c r="Q137" i="2" s="1"/>
  <c r="R137" i="2"/>
  <c r="S137" i="2"/>
  <c r="H138" i="2"/>
  <c r="I138" i="2"/>
  <c r="K138" i="2"/>
  <c r="M138" i="2"/>
  <c r="O138" i="2"/>
  <c r="P138" i="2"/>
  <c r="Q138" i="2" s="1"/>
  <c r="R138" i="2"/>
  <c r="S138" i="2"/>
  <c r="H139" i="2"/>
  <c r="I139" i="2"/>
  <c r="K139" i="2"/>
  <c r="M139" i="2"/>
  <c r="O139" i="2"/>
  <c r="P139" i="2"/>
  <c r="Q139" i="2" s="1"/>
  <c r="R139" i="2"/>
  <c r="S139" i="2"/>
  <c r="H140" i="2"/>
  <c r="I140" i="2"/>
  <c r="K140" i="2"/>
  <c r="M140" i="2"/>
  <c r="O140" i="2"/>
  <c r="P140" i="2"/>
  <c r="Q140" i="2" s="1"/>
  <c r="R140" i="2"/>
  <c r="S140" i="2"/>
  <c r="H141" i="2"/>
  <c r="I141" i="2"/>
  <c r="K141" i="2"/>
  <c r="M141" i="2"/>
  <c r="O141" i="2"/>
  <c r="P141" i="2"/>
  <c r="Q141" i="2" s="1"/>
  <c r="R141" i="2"/>
  <c r="S141" i="2"/>
  <c r="H142" i="2"/>
  <c r="I142" i="2"/>
  <c r="K142" i="2"/>
  <c r="M142" i="2"/>
  <c r="O142" i="2"/>
  <c r="P142" i="2"/>
  <c r="Q142" i="2" s="1"/>
  <c r="R142" i="2"/>
  <c r="S142" i="2"/>
  <c r="H143" i="2"/>
  <c r="I143" i="2"/>
  <c r="K143" i="2"/>
  <c r="M143" i="2"/>
  <c r="O143" i="2"/>
  <c r="P143" i="2"/>
  <c r="Q143" i="2" s="1"/>
  <c r="R143" i="2"/>
  <c r="S143" i="2"/>
  <c r="H144" i="2"/>
  <c r="I144" i="2"/>
  <c r="K144" i="2"/>
  <c r="M144" i="2"/>
  <c r="O144" i="2"/>
  <c r="P144" i="2"/>
  <c r="Q144" i="2" s="1"/>
  <c r="R144" i="2"/>
  <c r="S144" i="2"/>
  <c r="H145" i="2"/>
  <c r="I145" i="2"/>
  <c r="K145" i="2"/>
  <c r="M145" i="2"/>
  <c r="O145" i="2"/>
  <c r="P145" i="2"/>
  <c r="Q145" i="2" s="1"/>
  <c r="R145" i="2"/>
  <c r="S145" i="2"/>
  <c r="H146" i="2"/>
  <c r="I146" i="2"/>
  <c r="K146" i="2"/>
  <c r="M146" i="2"/>
  <c r="O146" i="2"/>
  <c r="P146" i="2"/>
  <c r="Q146" i="2" s="1"/>
  <c r="R146" i="2"/>
  <c r="S146" i="2"/>
  <c r="H147" i="2"/>
  <c r="I147" i="2"/>
  <c r="K147" i="2"/>
  <c r="M147" i="2"/>
  <c r="O147" i="2"/>
  <c r="P147" i="2"/>
  <c r="Q147" i="2" s="1"/>
  <c r="R147" i="2"/>
  <c r="S147" i="2"/>
  <c r="H148" i="2"/>
  <c r="I148" i="2"/>
  <c r="K148" i="2"/>
  <c r="M148" i="2"/>
  <c r="O148" i="2"/>
  <c r="P148" i="2"/>
  <c r="Q148" i="2" s="1"/>
  <c r="R148" i="2"/>
  <c r="S148" i="2"/>
  <c r="H149" i="2"/>
  <c r="I149" i="2"/>
  <c r="K149" i="2"/>
  <c r="M149" i="2"/>
  <c r="O149" i="2"/>
  <c r="P149" i="2"/>
  <c r="Q149" i="2" s="1"/>
  <c r="R149" i="2"/>
  <c r="S149" i="2"/>
  <c r="H150" i="2"/>
  <c r="I150" i="2"/>
  <c r="K150" i="2"/>
  <c r="M150" i="2"/>
  <c r="O150" i="2"/>
  <c r="P150" i="2"/>
  <c r="Q150" i="2" s="1"/>
  <c r="R150" i="2"/>
  <c r="S150" i="2"/>
  <c r="H151" i="2"/>
  <c r="I151" i="2"/>
  <c r="K151" i="2"/>
  <c r="M151" i="2"/>
  <c r="O151" i="2"/>
  <c r="P151" i="2"/>
  <c r="Q151" i="2" s="1"/>
  <c r="R151" i="2"/>
  <c r="S151" i="2"/>
  <c r="H152" i="2"/>
  <c r="I152" i="2"/>
  <c r="K152" i="2"/>
  <c r="M152" i="2"/>
  <c r="O152" i="2"/>
  <c r="P152" i="2"/>
  <c r="Q152" i="2" s="1"/>
  <c r="R152" i="2"/>
  <c r="S152" i="2"/>
  <c r="H153" i="2"/>
  <c r="I153" i="2"/>
  <c r="K153" i="2"/>
  <c r="M153" i="2"/>
  <c r="O153" i="2"/>
  <c r="P153" i="2"/>
  <c r="Q153" i="2" s="1"/>
  <c r="R153" i="2"/>
  <c r="S153" i="2"/>
  <c r="H154" i="2"/>
  <c r="I154" i="2"/>
  <c r="K154" i="2"/>
  <c r="M154" i="2"/>
  <c r="O154" i="2"/>
  <c r="P154" i="2"/>
  <c r="Q154" i="2" s="1"/>
  <c r="R154" i="2"/>
  <c r="S154" i="2"/>
  <c r="H155" i="2"/>
  <c r="I155" i="2"/>
  <c r="K155" i="2"/>
  <c r="M155" i="2"/>
  <c r="O155" i="2"/>
  <c r="P155" i="2"/>
  <c r="Q155" i="2" s="1"/>
  <c r="R155" i="2"/>
  <c r="S155" i="2"/>
  <c r="H156" i="2"/>
  <c r="I156" i="2"/>
  <c r="K156" i="2"/>
  <c r="M156" i="2"/>
  <c r="O156" i="2"/>
  <c r="P156" i="2"/>
  <c r="Q156" i="2" s="1"/>
  <c r="R156" i="2"/>
  <c r="S156" i="2"/>
  <c r="H157" i="2"/>
  <c r="I157" i="2"/>
  <c r="K157" i="2"/>
  <c r="M157" i="2"/>
  <c r="O157" i="2"/>
  <c r="P157" i="2"/>
  <c r="Q157" i="2" s="1"/>
  <c r="R157" i="2"/>
  <c r="S157" i="2"/>
  <c r="H158" i="2"/>
  <c r="I158" i="2"/>
  <c r="K158" i="2"/>
  <c r="M158" i="2"/>
  <c r="O158" i="2"/>
  <c r="P158" i="2"/>
  <c r="Q158" i="2" s="1"/>
  <c r="R158" i="2"/>
  <c r="S158" i="2"/>
  <c r="H159" i="2"/>
  <c r="I159" i="2"/>
  <c r="K159" i="2"/>
  <c r="M159" i="2"/>
  <c r="O159" i="2"/>
  <c r="P159" i="2"/>
  <c r="Q159" i="2" s="1"/>
  <c r="R159" i="2"/>
  <c r="S159" i="2"/>
  <c r="H160" i="2"/>
  <c r="I160" i="2"/>
  <c r="K160" i="2"/>
  <c r="M160" i="2"/>
  <c r="O160" i="2"/>
  <c r="P160" i="2"/>
  <c r="Q160" i="2" s="1"/>
  <c r="R160" i="2"/>
  <c r="S160" i="2"/>
  <c r="H161" i="2"/>
  <c r="I161" i="2"/>
  <c r="K161" i="2"/>
  <c r="M161" i="2"/>
  <c r="O161" i="2"/>
  <c r="P161" i="2"/>
  <c r="Q161" i="2" s="1"/>
  <c r="R161" i="2"/>
  <c r="S161" i="2"/>
  <c r="H162" i="2"/>
  <c r="I162" i="2"/>
  <c r="K162" i="2"/>
  <c r="M162" i="2"/>
  <c r="O162" i="2"/>
  <c r="P162" i="2"/>
  <c r="Q162" i="2" s="1"/>
  <c r="R162" i="2"/>
  <c r="S162" i="2"/>
  <c r="H163" i="2"/>
  <c r="I163" i="2"/>
  <c r="K163" i="2"/>
  <c r="M163" i="2"/>
  <c r="O163" i="2"/>
  <c r="P163" i="2"/>
  <c r="Q163" i="2" s="1"/>
  <c r="R163" i="2"/>
  <c r="S163" i="2"/>
  <c r="H164" i="2"/>
  <c r="I164" i="2"/>
  <c r="K164" i="2"/>
  <c r="M164" i="2"/>
  <c r="O164" i="2"/>
  <c r="P164" i="2"/>
  <c r="Q164" i="2" s="1"/>
  <c r="R164" i="2"/>
  <c r="S164" i="2"/>
  <c r="H165" i="2"/>
  <c r="I165" i="2"/>
  <c r="K165" i="2"/>
  <c r="M165" i="2"/>
  <c r="O165" i="2"/>
  <c r="P165" i="2"/>
  <c r="Q165" i="2" s="1"/>
  <c r="R165" i="2"/>
  <c r="S165" i="2"/>
  <c r="H166" i="2"/>
  <c r="I166" i="2"/>
  <c r="K166" i="2"/>
  <c r="M166" i="2"/>
  <c r="O166" i="2"/>
  <c r="P166" i="2"/>
  <c r="Q166" i="2" s="1"/>
  <c r="R166" i="2"/>
  <c r="S166" i="2"/>
  <c r="H167" i="2"/>
  <c r="I167" i="2"/>
  <c r="K167" i="2"/>
  <c r="M167" i="2"/>
  <c r="O167" i="2"/>
  <c r="P167" i="2"/>
  <c r="Q167" i="2" s="1"/>
  <c r="R167" i="2"/>
  <c r="S167" i="2"/>
  <c r="H168" i="2"/>
  <c r="I168" i="2"/>
  <c r="K168" i="2"/>
  <c r="M168" i="2"/>
  <c r="O168" i="2"/>
  <c r="P168" i="2"/>
  <c r="Q168" i="2" s="1"/>
  <c r="R168" i="2"/>
  <c r="S168" i="2"/>
  <c r="H169" i="2"/>
  <c r="I169" i="2"/>
  <c r="K169" i="2"/>
  <c r="M169" i="2"/>
  <c r="O169" i="2"/>
  <c r="P169" i="2"/>
  <c r="Q169" i="2" s="1"/>
  <c r="R169" i="2"/>
  <c r="S169" i="2"/>
  <c r="H170" i="2"/>
  <c r="I170" i="2"/>
  <c r="K170" i="2"/>
  <c r="M170" i="2"/>
  <c r="O170" i="2"/>
  <c r="P170" i="2"/>
  <c r="Q170" i="2" s="1"/>
  <c r="R170" i="2"/>
  <c r="S170" i="2"/>
  <c r="H171" i="2"/>
  <c r="I171" i="2"/>
  <c r="K171" i="2"/>
  <c r="M171" i="2"/>
  <c r="O171" i="2"/>
  <c r="P171" i="2"/>
  <c r="Q171" i="2" s="1"/>
  <c r="R171" i="2"/>
  <c r="S171" i="2"/>
  <c r="H172" i="2"/>
  <c r="I172" i="2"/>
  <c r="K172" i="2"/>
  <c r="M172" i="2"/>
  <c r="O172" i="2"/>
  <c r="P172" i="2"/>
  <c r="Q172" i="2" s="1"/>
  <c r="R172" i="2"/>
  <c r="S172" i="2"/>
  <c r="H173" i="2"/>
  <c r="I173" i="2"/>
  <c r="K173" i="2"/>
  <c r="M173" i="2"/>
  <c r="O173" i="2"/>
  <c r="P173" i="2"/>
  <c r="Q173" i="2" s="1"/>
  <c r="R173" i="2"/>
  <c r="S173" i="2"/>
  <c r="H174" i="2"/>
  <c r="I174" i="2"/>
  <c r="K174" i="2"/>
  <c r="M174" i="2"/>
  <c r="O174" i="2"/>
  <c r="P174" i="2"/>
  <c r="Q174" i="2" s="1"/>
  <c r="R174" i="2"/>
  <c r="S174" i="2"/>
  <c r="H175" i="2"/>
  <c r="I175" i="2"/>
  <c r="K175" i="2"/>
  <c r="M175" i="2"/>
  <c r="O175" i="2"/>
  <c r="P175" i="2"/>
  <c r="Q175" i="2" s="1"/>
  <c r="R175" i="2"/>
  <c r="S175" i="2"/>
  <c r="H176" i="2"/>
  <c r="I176" i="2"/>
  <c r="K176" i="2"/>
  <c r="M176" i="2"/>
  <c r="O176" i="2"/>
  <c r="P176" i="2"/>
  <c r="Q176" i="2" s="1"/>
  <c r="R176" i="2"/>
  <c r="S176" i="2"/>
  <c r="H177" i="2"/>
  <c r="I177" i="2"/>
  <c r="K177" i="2"/>
  <c r="M177" i="2"/>
  <c r="O177" i="2"/>
  <c r="P177" i="2"/>
  <c r="Q177" i="2" s="1"/>
  <c r="R177" i="2"/>
  <c r="S177" i="2"/>
  <c r="H178" i="2"/>
  <c r="I178" i="2"/>
  <c r="K178" i="2"/>
  <c r="M178" i="2"/>
  <c r="O178" i="2"/>
  <c r="P178" i="2"/>
  <c r="Q178" i="2" s="1"/>
  <c r="R178" i="2"/>
  <c r="S178" i="2"/>
  <c r="H179" i="2"/>
  <c r="I179" i="2"/>
  <c r="K179" i="2"/>
  <c r="M179" i="2"/>
  <c r="O179" i="2"/>
  <c r="P179" i="2"/>
  <c r="Q179" i="2" s="1"/>
  <c r="R179" i="2"/>
  <c r="S179" i="2"/>
  <c r="H180" i="2"/>
  <c r="I180" i="2"/>
  <c r="K180" i="2"/>
  <c r="M180" i="2"/>
  <c r="O180" i="2"/>
  <c r="P180" i="2"/>
  <c r="Q180" i="2" s="1"/>
  <c r="R180" i="2"/>
  <c r="S180" i="2"/>
  <c r="H181" i="2"/>
  <c r="I181" i="2"/>
  <c r="K181" i="2"/>
  <c r="M181" i="2"/>
  <c r="O181" i="2"/>
  <c r="P181" i="2"/>
  <c r="Q181" i="2" s="1"/>
  <c r="R181" i="2"/>
  <c r="S181" i="2"/>
  <c r="H182" i="2"/>
  <c r="I182" i="2"/>
  <c r="K182" i="2"/>
  <c r="M182" i="2"/>
  <c r="O182" i="2"/>
  <c r="P182" i="2"/>
  <c r="Q182" i="2" s="1"/>
  <c r="R182" i="2"/>
  <c r="S182" i="2"/>
  <c r="H183" i="2"/>
  <c r="I183" i="2"/>
  <c r="K183" i="2"/>
  <c r="M183" i="2"/>
  <c r="O183" i="2"/>
  <c r="P183" i="2"/>
  <c r="Q183" i="2" s="1"/>
  <c r="R183" i="2"/>
  <c r="S183" i="2"/>
  <c r="H184" i="2"/>
  <c r="I184" i="2"/>
  <c r="K184" i="2"/>
  <c r="M184" i="2"/>
  <c r="O184" i="2"/>
  <c r="P184" i="2"/>
  <c r="Q184" i="2" s="1"/>
  <c r="R184" i="2"/>
  <c r="S184" i="2"/>
  <c r="H185" i="2"/>
  <c r="I185" i="2"/>
  <c r="K185" i="2"/>
  <c r="M185" i="2"/>
  <c r="O185" i="2"/>
  <c r="P185" i="2"/>
  <c r="Q185" i="2" s="1"/>
  <c r="R185" i="2"/>
  <c r="S185" i="2"/>
  <c r="H186" i="2"/>
  <c r="I186" i="2"/>
  <c r="K186" i="2"/>
  <c r="M186" i="2"/>
  <c r="O186" i="2"/>
  <c r="P186" i="2"/>
  <c r="Q186" i="2" s="1"/>
  <c r="R186" i="2"/>
  <c r="S186" i="2"/>
  <c r="H187" i="2"/>
  <c r="I187" i="2"/>
  <c r="K187" i="2"/>
  <c r="M187" i="2"/>
  <c r="O187" i="2"/>
  <c r="P187" i="2"/>
  <c r="Q187" i="2" s="1"/>
  <c r="R187" i="2"/>
  <c r="S187" i="2"/>
  <c r="H188" i="2"/>
  <c r="I188" i="2"/>
  <c r="K188" i="2"/>
  <c r="M188" i="2"/>
  <c r="O188" i="2"/>
  <c r="P188" i="2"/>
  <c r="Q188" i="2" s="1"/>
  <c r="R188" i="2"/>
  <c r="S188" i="2"/>
  <c r="H189" i="2"/>
  <c r="I189" i="2"/>
  <c r="K189" i="2"/>
  <c r="M189" i="2"/>
  <c r="O189" i="2"/>
  <c r="P189" i="2"/>
  <c r="Q189" i="2" s="1"/>
  <c r="R189" i="2"/>
  <c r="S189" i="2"/>
  <c r="H190" i="2"/>
  <c r="I190" i="2"/>
  <c r="K190" i="2"/>
  <c r="M190" i="2"/>
  <c r="O190" i="2"/>
  <c r="P190" i="2"/>
  <c r="Q190" i="2" s="1"/>
  <c r="R190" i="2"/>
  <c r="S190" i="2"/>
  <c r="H191" i="2"/>
  <c r="I191" i="2"/>
  <c r="K191" i="2"/>
  <c r="M191" i="2"/>
  <c r="O191" i="2"/>
  <c r="P191" i="2"/>
  <c r="Q191" i="2" s="1"/>
  <c r="R191" i="2"/>
  <c r="S191" i="2"/>
  <c r="H192" i="2"/>
  <c r="I192" i="2"/>
  <c r="K192" i="2"/>
  <c r="M192" i="2"/>
  <c r="O192" i="2"/>
  <c r="P192" i="2"/>
  <c r="Q192" i="2" s="1"/>
  <c r="R192" i="2"/>
  <c r="S192" i="2"/>
  <c r="H193" i="2"/>
  <c r="I193" i="2"/>
  <c r="K193" i="2"/>
  <c r="M193" i="2"/>
  <c r="O193" i="2"/>
  <c r="P193" i="2"/>
  <c r="Q193" i="2" s="1"/>
  <c r="R193" i="2"/>
  <c r="S193" i="2"/>
  <c r="H194" i="2"/>
  <c r="I194" i="2"/>
  <c r="K194" i="2"/>
  <c r="M194" i="2"/>
  <c r="O194" i="2"/>
  <c r="P194" i="2"/>
  <c r="Q194" i="2" s="1"/>
  <c r="R194" i="2"/>
  <c r="S194" i="2"/>
  <c r="H195" i="2"/>
  <c r="I195" i="2"/>
  <c r="K195" i="2"/>
  <c r="M195" i="2"/>
  <c r="O195" i="2"/>
  <c r="P195" i="2"/>
  <c r="Q195" i="2" s="1"/>
  <c r="R195" i="2"/>
  <c r="S195" i="2"/>
  <c r="H196" i="2"/>
  <c r="I196" i="2"/>
  <c r="K196" i="2"/>
  <c r="M196" i="2"/>
  <c r="O196" i="2"/>
  <c r="P196" i="2"/>
  <c r="Q196" i="2" s="1"/>
  <c r="R196" i="2"/>
  <c r="S196" i="2"/>
  <c r="H197" i="2"/>
  <c r="I197" i="2"/>
  <c r="K197" i="2"/>
  <c r="M197" i="2"/>
  <c r="O197" i="2"/>
  <c r="P197" i="2"/>
  <c r="Q197" i="2" s="1"/>
  <c r="R197" i="2"/>
  <c r="S197" i="2"/>
  <c r="H198" i="2"/>
  <c r="I198" i="2"/>
  <c r="K198" i="2"/>
  <c r="M198" i="2"/>
  <c r="O198" i="2"/>
  <c r="P198" i="2"/>
  <c r="Q198" i="2" s="1"/>
  <c r="R198" i="2"/>
  <c r="S198" i="2"/>
  <c r="H199" i="2"/>
  <c r="I199" i="2"/>
  <c r="K199" i="2"/>
  <c r="M199" i="2"/>
  <c r="O199" i="2"/>
  <c r="P199" i="2"/>
  <c r="Q199" i="2" s="1"/>
  <c r="R199" i="2"/>
  <c r="S199" i="2"/>
  <c r="H200" i="2"/>
  <c r="I200" i="2"/>
  <c r="K200" i="2"/>
  <c r="M200" i="2"/>
  <c r="O200" i="2"/>
  <c r="P200" i="2"/>
  <c r="Q200" i="2" s="1"/>
  <c r="R200" i="2"/>
  <c r="S200" i="2"/>
  <c r="H201" i="2"/>
  <c r="I201" i="2"/>
  <c r="K201" i="2"/>
  <c r="M201" i="2"/>
  <c r="O201" i="2"/>
  <c r="P201" i="2"/>
  <c r="Q201" i="2" s="1"/>
  <c r="R201" i="2"/>
  <c r="S201" i="2"/>
  <c r="H202" i="2"/>
  <c r="I202" i="2"/>
  <c r="K202" i="2"/>
  <c r="M202" i="2"/>
  <c r="O202" i="2"/>
  <c r="P202" i="2"/>
  <c r="Q202" i="2" s="1"/>
  <c r="R202" i="2"/>
  <c r="S202" i="2"/>
  <c r="H203" i="2"/>
  <c r="I203" i="2"/>
  <c r="K203" i="2"/>
  <c r="M203" i="2"/>
  <c r="O203" i="2"/>
  <c r="P203" i="2"/>
  <c r="Q203" i="2" s="1"/>
  <c r="R203" i="2"/>
  <c r="S203" i="2"/>
  <c r="H204" i="2"/>
  <c r="I204" i="2"/>
  <c r="K204" i="2"/>
  <c r="M204" i="2"/>
  <c r="O204" i="2"/>
  <c r="P204" i="2"/>
  <c r="Q204" i="2" s="1"/>
  <c r="R204" i="2"/>
  <c r="S204" i="2"/>
  <c r="H205" i="2"/>
  <c r="I205" i="2"/>
  <c r="K205" i="2"/>
  <c r="M205" i="2"/>
  <c r="O205" i="2"/>
  <c r="P205" i="2"/>
  <c r="Q205" i="2" s="1"/>
  <c r="R205" i="2"/>
  <c r="S205" i="2"/>
  <c r="H206" i="2"/>
  <c r="I206" i="2"/>
  <c r="K206" i="2"/>
  <c r="M206" i="2"/>
  <c r="O206" i="2"/>
  <c r="P206" i="2"/>
  <c r="Q206" i="2" s="1"/>
  <c r="R206" i="2"/>
  <c r="S206" i="2"/>
  <c r="H207" i="2"/>
  <c r="I207" i="2"/>
  <c r="K207" i="2"/>
  <c r="M207" i="2"/>
  <c r="O207" i="2"/>
  <c r="P207" i="2"/>
  <c r="Q207" i="2" s="1"/>
  <c r="R207" i="2"/>
  <c r="S207" i="2"/>
  <c r="H208" i="2"/>
  <c r="I208" i="2"/>
  <c r="K208" i="2"/>
  <c r="M208" i="2"/>
  <c r="O208" i="2"/>
  <c r="P208" i="2"/>
  <c r="Q208" i="2" s="1"/>
  <c r="R208" i="2"/>
  <c r="S208" i="2"/>
  <c r="H209" i="2"/>
  <c r="I209" i="2"/>
  <c r="K209" i="2"/>
  <c r="M209" i="2"/>
  <c r="O209" i="2"/>
  <c r="P209" i="2"/>
  <c r="Q209" i="2" s="1"/>
  <c r="R209" i="2"/>
  <c r="S209" i="2"/>
  <c r="H210" i="2"/>
  <c r="I210" i="2"/>
  <c r="K210" i="2"/>
  <c r="M210" i="2"/>
  <c r="O210" i="2"/>
  <c r="P210" i="2"/>
  <c r="Q210" i="2" s="1"/>
  <c r="R210" i="2"/>
  <c r="S210" i="2"/>
  <c r="H211" i="2"/>
  <c r="I211" i="2"/>
  <c r="K211" i="2"/>
  <c r="M211" i="2"/>
  <c r="O211" i="2"/>
  <c r="P211" i="2"/>
  <c r="Q211" i="2" s="1"/>
  <c r="R211" i="2"/>
  <c r="S211" i="2"/>
  <c r="H212" i="2"/>
  <c r="I212" i="2"/>
  <c r="K212" i="2"/>
  <c r="M212" i="2"/>
  <c r="O212" i="2"/>
  <c r="P212" i="2"/>
  <c r="Q212" i="2" s="1"/>
  <c r="R212" i="2"/>
  <c r="S212" i="2"/>
  <c r="H213" i="2"/>
  <c r="I213" i="2"/>
  <c r="K213" i="2"/>
  <c r="M213" i="2"/>
  <c r="O213" i="2"/>
  <c r="P213" i="2"/>
  <c r="Q213" i="2" s="1"/>
  <c r="R213" i="2"/>
  <c r="S213" i="2"/>
  <c r="H214" i="2"/>
  <c r="I214" i="2"/>
  <c r="K214" i="2"/>
  <c r="M214" i="2"/>
  <c r="O214" i="2"/>
  <c r="P214" i="2"/>
  <c r="Q214" i="2" s="1"/>
  <c r="R214" i="2"/>
  <c r="S214" i="2"/>
  <c r="H215" i="2"/>
  <c r="I215" i="2"/>
  <c r="K215" i="2"/>
  <c r="M215" i="2"/>
  <c r="O215" i="2"/>
  <c r="P215" i="2"/>
  <c r="Q215" i="2" s="1"/>
  <c r="R215" i="2"/>
  <c r="S215" i="2"/>
  <c r="H216" i="2"/>
  <c r="I216" i="2"/>
  <c r="K216" i="2"/>
  <c r="M216" i="2"/>
  <c r="O216" i="2"/>
  <c r="P216" i="2"/>
  <c r="Q216" i="2" s="1"/>
  <c r="R216" i="2"/>
  <c r="S216" i="2"/>
  <c r="H217" i="2"/>
  <c r="I217" i="2"/>
  <c r="K217" i="2"/>
  <c r="M217" i="2"/>
  <c r="O217" i="2"/>
  <c r="P217" i="2"/>
  <c r="Q217" i="2" s="1"/>
  <c r="R217" i="2"/>
  <c r="S217" i="2"/>
  <c r="H218" i="2"/>
  <c r="I218" i="2"/>
  <c r="K218" i="2"/>
  <c r="M218" i="2"/>
  <c r="O218" i="2"/>
  <c r="P218" i="2"/>
  <c r="Q218" i="2" s="1"/>
  <c r="R218" i="2"/>
  <c r="S218" i="2"/>
  <c r="H219" i="2"/>
  <c r="I219" i="2"/>
  <c r="K219" i="2"/>
  <c r="M219" i="2"/>
  <c r="O219" i="2"/>
  <c r="P219" i="2"/>
  <c r="Q219" i="2" s="1"/>
  <c r="R219" i="2"/>
  <c r="S219" i="2"/>
  <c r="H220" i="2"/>
  <c r="I220" i="2"/>
  <c r="K220" i="2"/>
  <c r="M220" i="2"/>
  <c r="O220" i="2"/>
  <c r="P220" i="2"/>
  <c r="Q220" i="2" s="1"/>
  <c r="R220" i="2"/>
  <c r="S220" i="2"/>
  <c r="H221" i="2"/>
  <c r="I221" i="2"/>
  <c r="K221" i="2"/>
  <c r="M221" i="2"/>
  <c r="O221" i="2"/>
  <c r="P221" i="2"/>
  <c r="Q221" i="2" s="1"/>
  <c r="R221" i="2"/>
  <c r="S221" i="2"/>
  <c r="H222" i="2"/>
  <c r="I222" i="2"/>
  <c r="K222" i="2"/>
  <c r="M222" i="2"/>
  <c r="O222" i="2"/>
  <c r="P222" i="2"/>
  <c r="Q222" i="2" s="1"/>
  <c r="R222" i="2"/>
  <c r="S222" i="2"/>
  <c r="H223" i="2"/>
  <c r="I223" i="2"/>
  <c r="K223" i="2"/>
  <c r="M223" i="2"/>
  <c r="O223" i="2"/>
  <c r="P223" i="2"/>
  <c r="Q223" i="2" s="1"/>
  <c r="R223" i="2"/>
  <c r="S223" i="2"/>
  <c r="H224" i="2"/>
  <c r="I224" i="2"/>
  <c r="K224" i="2"/>
  <c r="M224" i="2"/>
  <c r="O224" i="2"/>
  <c r="P224" i="2"/>
  <c r="Q224" i="2" s="1"/>
  <c r="R224" i="2"/>
  <c r="S224" i="2"/>
  <c r="H225" i="2"/>
  <c r="I225" i="2"/>
  <c r="K225" i="2"/>
  <c r="M225" i="2"/>
  <c r="O225" i="2"/>
  <c r="P225" i="2"/>
  <c r="Q225" i="2" s="1"/>
  <c r="R225" i="2"/>
  <c r="S225" i="2"/>
  <c r="H226" i="2"/>
  <c r="I226" i="2"/>
  <c r="K226" i="2"/>
  <c r="M226" i="2"/>
  <c r="O226" i="2"/>
  <c r="P226" i="2"/>
  <c r="Q226" i="2" s="1"/>
  <c r="R226" i="2"/>
  <c r="S226" i="2"/>
  <c r="H227" i="2"/>
  <c r="I227" i="2"/>
  <c r="K227" i="2"/>
  <c r="M227" i="2"/>
  <c r="O227" i="2"/>
  <c r="P227" i="2"/>
  <c r="Q227" i="2" s="1"/>
  <c r="R227" i="2"/>
  <c r="S227" i="2"/>
  <c r="H228" i="2"/>
  <c r="I228" i="2"/>
  <c r="K228" i="2"/>
  <c r="M228" i="2"/>
  <c r="O228" i="2"/>
  <c r="P228" i="2"/>
  <c r="Q228" i="2" s="1"/>
  <c r="R228" i="2"/>
  <c r="S228" i="2"/>
  <c r="H229" i="2"/>
  <c r="I229" i="2"/>
  <c r="K229" i="2"/>
  <c r="M229" i="2"/>
  <c r="O229" i="2"/>
  <c r="P229" i="2"/>
  <c r="Q229" i="2" s="1"/>
  <c r="R229" i="2"/>
  <c r="S229" i="2"/>
  <c r="H230" i="2"/>
  <c r="I230" i="2"/>
  <c r="K230" i="2"/>
  <c r="M230" i="2"/>
  <c r="O230" i="2"/>
  <c r="P230" i="2"/>
  <c r="Q230" i="2" s="1"/>
  <c r="R230" i="2"/>
  <c r="S230" i="2"/>
  <c r="H231" i="2"/>
  <c r="I231" i="2"/>
  <c r="K231" i="2"/>
  <c r="M231" i="2"/>
  <c r="O231" i="2"/>
  <c r="P231" i="2"/>
  <c r="Q231" i="2" s="1"/>
  <c r="R231" i="2"/>
  <c r="S231" i="2"/>
  <c r="H232" i="2"/>
  <c r="I232" i="2"/>
  <c r="K232" i="2"/>
  <c r="M232" i="2"/>
  <c r="O232" i="2"/>
  <c r="P232" i="2"/>
  <c r="Q232" i="2" s="1"/>
  <c r="R232" i="2"/>
  <c r="S232" i="2"/>
  <c r="H233" i="2"/>
  <c r="I233" i="2"/>
  <c r="K233" i="2"/>
  <c r="M233" i="2"/>
  <c r="O233" i="2"/>
  <c r="P233" i="2"/>
  <c r="Q233" i="2" s="1"/>
  <c r="R233" i="2"/>
  <c r="S233" i="2"/>
  <c r="H234" i="2"/>
  <c r="I234" i="2"/>
  <c r="K234" i="2"/>
  <c r="M234" i="2"/>
  <c r="O234" i="2"/>
  <c r="P234" i="2"/>
  <c r="Q234" i="2" s="1"/>
  <c r="R234" i="2"/>
  <c r="S234" i="2"/>
  <c r="H235" i="2"/>
  <c r="I235" i="2"/>
  <c r="K235" i="2"/>
  <c r="M235" i="2"/>
  <c r="O235" i="2"/>
  <c r="P235" i="2"/>
  <c r="Q235" i="2" s="1"/>
  <c r="R235" i="2"/>
  <c r="S235" i="2"/>
  <c r="H236" i="2"/>
  <c r="I236" i="2"/>
  <c r="K236" i="2"/>
  <c r="M236" i="2"/>
  <c r="O236" i="2"/>
  <c r="P236" i="2"/>
  <c r="Q236" i="2" s="1"/>
  <c r="R236" i="2"/>
  <c r="S236" i="2"/>
  <c r="H237" i="2"/>
  <c r="I237" i="2"/>
  <c r="K237" i="2"/>
  <c r="M237" i="2"/>
  <c r="O237" i="2"/>
  <c r="P237" i="2"/>
  <c r="Q237" i="2" s="1"/>
  <c r="R237" i="2"/>
  <c r="S237" i="2"/>
  <c r="H238" i="2"/>
  <c r="I238" i="2"/>
  <c r="K238" i="2"/>
  <c r="M238" i="2"/>
  <c r="O238" i="2"/>
  <c r="P238" i="2"/>
  <c r="Q238" i="2" s="1"/>
  <c r="R238" i="2"/>
  <c r="S238" i="2"/>
  <c r="H239" i="2"/>
  <c r="I239" i="2"/>
  <c r="K239" i="2"/>
  <c r="M239" i="2"/>
  <c r="O239" i="2"/>
  <c r="P239" i="2"/>
  <c r="Q239" i="2" s="1"/>
  <c r="R239" i="2"/>
  <c r="S239" i="2"/>
  <c r="H240" i="2"/>
  <c r="I240" i="2"/>
  <c r="K240" i="2"/>
  <c r="M240" i="2"/>
  <c r="O240" i="2"/>
  <c r="P240" i="2"/>
  <c r="Q240" i="2" s="1"/>
  <c r="R240" i="2"/>
  <c r="S240" i="2"/>
  <c r="H241" i="2"/>
  <c r="I241" i="2"/>
  <c r="K241" i="2"/>
  <c r="M241" i="2"/>
  <c r="O241" i="2"/>
  <c r="P241" i="2"/>
  <c r="Q241" i="2" s="1"/>
  <c r="R241" i="2"/>
  <c r="S241" i="2"/>
  <c r="H242" i="2"/>
  <c r="I242" i="2"/>
  <c r="K242" i="2"/>
  <c r="M242" i="2"/>
  <c r="O242" i="2"/>
  <c r="P242" i="2"/>
  <c r="Q242" i="2" s="1"/>
  <c r="R242" i="2"/>
  <c r="S242" i="2"/>
  <c r="H243" i="2"/>
  <c r="I243" i="2"/>
  <c r="K243" i="2"/>
  <c r="M243" i="2"/>
  <c r="O243" i="2"/>
  <c r="P243" i="2"/>
  <c r="Q243" i="2" s="1"/>
  <c r="R243" i="2"/>
  <c r="S243" i="2"/>
  <c r="H244" i="2"/>
  <c r="I244" i="2"/>
  <c r="K244" i="2"/>
  <c r="M244" i="2"/>
  <c r="O244" i="2"/>
  <c r="P244" i="2"/>
  <c r="Q244" i="2" s="1"/>
  <c r="R244" i="2"/>
  <c r="S244" i="2"/>
  <c r="H245" i="2"/>
  <c r="I245" i="2"/>
  <c r="K245" i="2"/>
  <c r="M245" i="2"/>
  <c r="O245" i="2"/>
  <c r="P245" i="2"/>
  <c r="Q245" i="2" s="1"/>
  <c r="R245" i="2"/>
  <c r="S245" i="2"/>
  <c r="H246" i="2"/>
  <c r="I246" i="2"/>
  <c r="K246" i="2"/>
  <c r="M246" i="2"/>
  <c r="O246" i="2"/>
  <c r="P246" i="2"/>
  <c r="Q246" i="2" s="1"/>
  <c r="R246" i="2"/>
  <c r="S246" i="2"/>
  <c r="H247" i="2"/>
  <c r="I247" i="2"/>
  <c r="K247" i="2"/>
  <c r="M247" i="2"/>
  <c r="O247" i="2"/>
  <c r="P247" i="2"/>
  <c r="Q247" i="2" s="1"/>
  <c r="R247" i="2"/>
  <c r="S247" i="2"/>
  <c r="H248" i="2"/>
  <c r="I248" i="2"/>
  <c r="K248" i="2"/>
  <c r="M248" i="2"/>
  <c r="O248" i="2"/>
  <c r="P248" i="2"/>
  <c r="Q248" i="2" s="1"/>
  <c r="R248" i="2"/>
  <c r="S248" i="2"/>
  <c r="H249" i="2"/>
  <c r="I249" i="2"/>
  <c r="K249" i="2"/>
  <c r="M249" i="2"/>
  <c r="O249" i="2"/>
  <c r="P249" i="2"/>
  <c r="Q249" i="2" s="1"/>
  <c r="R249" i="2"/>
  <c r="S249" i="2"/>
  <c r="H250" i="2"/>
  <c r="I250" i="2"/>
  <c r="K250" i="2"/>
  <c r="M250" i="2"/>
  <c r="O250" i="2"/>
  <c r="P250" i="2"/>
  <c r="Q250" i="2" s="1"/>
  <c r="R250" i="2"/>
  <c r="S250" i="2"/>
  <c r="H251" i="2"/>
  <c r="I251" i="2"/>
  <c r="K251" i="2"/>
  <c r="M251" i="2"/>
  <c r="O251" i="2"/>
  <c r="P251" i="2"/>
  <c r="Q251" i="2" s="1"/>
  <c r="R251" i="2"/>
  <c r="S251" i="2"/>
  <c r="H252" i="2"/>
  <c r="I252" i="2"/>
  <c r="K252" i="2"/>
  <c r="M252" i="2"/>
  <c r="O252" i="2"/>
  <c r="P252" i="2"/>
  <c r="Q252" i="2" s="1"/>
  <c r="R252" i="2"/>
  <c r="S252" i="2"/>
  <c r="H253" i="2"/>
  <c r="I253" i="2"/>
  <c r="K253" i="2"/>
  <c r="M253" i="2"/>
  <c r="O253" i="2"/>
  <c r="P253" i="2"/>
  <c r="Q253" i="2" s="1"/>
  <c r="R253" i="2"/>
  <c r="S253" i="2"/>
  <c r="H254" i="2"/>
  <c r="I254" i="2"/>
  <c r="K254" i="2"/>
  <c r="M254" i="2"/>
  <c r="O254" i="2"/>
  <c r="P254" i="2"/>
  <c r="Q254" i="2" s="1"/>
  <c r="R254" i="2"/>
  <c r="S254" i="2"/>
  <c r="H255" i="2"/>
  <c r="I255" i="2"/>
  <c r="K255" i="2"/>
  <c r="M255" i="2"/>
  <c r="O255" i="2"/>
  <c r="P255" i="2"/>
  <c r="Q255" i="2" s="1"/>
  <c r="R255" i="2"/>
  <c r="S255" i="2"/>
  <c r="H256" i="2"/>
  <c r="I256" i="2"/>
  <c r="K256" i="2"/>
  <c r="M256" i="2"/>
  <c r="O256" i="2"/>
  <c r="P256" i="2"/>
  <c r="Q256" i="2" s="1"/>
  <c r="R256" i="2"/>
  <c r="S256" i="2"/>
  <c r="H257" i="2"/>
  <c r="I257" i="2"/>
  <c r="K257" i="2"/>
  <c r="M257" i="2"/>
  <c r="O257" i="2"/>
  <c r="P257" i="2"/>
  <c r="Q257" i="2" s="1"/>
  <c r="R257" i="2"/>
  <c r="S257" i="2"/>
  <c r="H258" i="2"/>
  <c r="I258" i="2"/>
  <c r="K258" i="2"/>
  <c r="M258" i="2"/>
  <c r="O258" i="2"/>
  <c r="P258" i="2"/>
  <c r="Q258" i="2" s="1"/>
  <c r="R258" i="2"/>
  <c r="S258" i="2"/>
  <c r="H259" i="2"/>
  <c r="I259" i="2"/>
  <c r="K259" i="2"/>
  <c r="M259" i="2"/>
  <c r="O259" i="2"/>
  <c r="P259" i="2"/>
  <c r="Q259" i="2" s="1"/>
  <c r="R259" i="2"/>
  <c r="S259" i="2"/>
  <c r="H260" i="2"/>
  <c r="I260" i="2"/>
  <c r="K260" i="2"/>
  <c r="M260" i="2"/>
  <c r="O260" i="2"/>
  <c r="P260" i="2"/>
  <c r="Q260" i="2" s="1"/>
  <c r="R260" i="2"/>
  <c r="S260" i="2"/>
  <c r="H261" i="2"/>
  <c r="I261" i="2"/>
  <c r="K261" i="2"/>
  <c r="M261" i="2"/>
  <c r="O261" i="2"/>
  <c r="P261" i="2"/>
  <c r="Q261" i="2" s="1"/>
  <c r="R261" i="2"/>
  <c r="S261" i="2"/>
  <c r="H262" i="2" l="1"/>
  <c r="E262" i="2"/>
  <c r="H26" i="4" l="1"/>
  <c r="G26" i="4"/>
  <c r="F26" i="4"/>
  <c r="E26" i="4"/>
  <c r="D26" i="4"/>
  <c r="H22" i="4"/>
  <c r="H23" i="4" s="1"/>
  <c r="G22" i="4"/>
  <c r="G23" i="4" s="1"/>
  <c r="F22" i="4"/>
  <c r="F23" i="4" s="1"/>
  <c r="E22" i="4"/>
  <c r="E23" i="4" s="1"/>
  <c r="D22" i="4"/>
  <c r="D23" i="4" s="1"/>
  <c r="H19" i="4"/>
  <c r="H20" i="4" s="1"/>
  <c r="G19" i="4"/>
  <c r="G20" i="4" s="1"/>
  <c r="F19" i="4"/>
  <c r="F20" i="4" s="1"/>
  <c r="E19" i="4"/>
  <c r="E20" i="4" s="1"/>
  <c r="D19" i="4"/>
  <c r="D20" i="4" s="1"/>
  <c r="P262" i="2" l="1"/>
  <c r="R262" i="2"/>
  <c r="S262" i="2"/>
  <c r="I262" i="2"/>
  <c r="Q262" i="2"/>
</calcChain>
</file>

<file path=xl/sharedStrings.xml><?xml version="1.0" encoding="utf-8"?>
<sst xmlns="http://schemas.openxmlformats.org/spreadsheetml/2006/main" count="954" uniqueCount="790">
  <si>
    <t>(cm)</t>
  </si>
  <si>
    <t>(kg)</t>
  </si>
  <si>
    <t>1.</t>
  </si>
  <si>
    <t>Cargo</t>
  </si>
  <si>
    <t xml:space="preserve">
Quantity</t>
  </si>
  <si>
    <t xml:space="preserve">Width
</t>
  </si>
  <si>
    <t xml:space="preserve">Heigth
</t>
  </si>
  <si>
    <t>weight each</t>
  </si>
  <si>
    <t>Weight total</t>
  </si>
  <si>
    <t>Stackable</t>
  </si>
  <si>
    <t>Rotatable</t>
  </si>
  <si>
    <t xml:space="preserve">Temperature </t>
  </si>
  <si>
    <t>Y / N</t>
  </si>
  <si>
    <t>Total</t>
  </si>
  <si>
    <t>Line number</t>
  </si>
  <si>
    <t>From - to:</t>
  </si>
  <si>
    <t>Date:</t>
  </si>
  <si>
    <t xml:space="preserve"> Type </t>
  </si>
  <si>
    <t xml:space="preserve">  Specifications </t>
  </si>
  <si>
    <r>
      <t xml:space="preserve">Registration </t>
    </r>
    <r>
      <rPr>
        <sz val="10"/>
        <rFont val="Arial"/>
        <family val="2"/>
      </rPr>
      <t xml:space="preserve">
</t>
    </r>
  </si>
  <si>
    <t xml:space="preserve">Weapons </t>
  </si>
  <si>
    <t xml:space="preserve">Ammunition </t>
  </si>
  <si>
    <t>BA Code:</t>
  </si>
  <si>
    <t>(inch)</t>
  </si>
  <si>
    <t>Appendix A1</t>
  </si>
  <si>
    <t>° C</t>
  </si>
  <si>
    <t>° F</t>
  </si>
  <si>
    <t>3.</t>
  </si>
  <si>
    <t>4.</t>
  </si>
  <si>
    <t>Annex / serial nr</t>
  </si>
  <si>
    <t>Invul instructies</t>
  </si>
  <si>
    <r>
      <t>Lees zorgvuldig de opmerkingen die bij de diverse cellen staan (</t>
    </r>
    <r>
      <rPr>
        <b/>
        <sz val="10"/>
        <rFont val="Arial"/>
        <family val="2"/>
      </rPr>
      <t>rechts boven in de hoek van de cel</t>
    </r>
    <r>
      <rPr>
        <sz val="10"/>
        <rFont val="Arial"/>
        <family val="2"/>
      </rPr>
      <t>)</t>
    </r>
  </si>
  <si>
    <t>Volume</t>
  </si>
  <si>
    <t>5.</t>
  </si>
  <si>
    <t>Lenght</t>
  </si>
  <si>
    <t>Total Lenght</t>
  </si>
  <si>
    <t>Loaded</t>
  </si>
  <si>
    <t>ITAR</t>
  </si>
  <si>
    <t>TBB</t>
  </si>
  <si>
    <r>
      <t>Conditioned</t>
    </r>
    <r>
      <rPr>
        <vertAlign val="superscript"/>
        <sz val="10"/>
        <rFont val="Arial"/>
        <family val="2"/>
      </rPr>
      <t xml:space="preserve"> </t>
    </r>
  </si>
  <si>
    <t xml:space="preserve">Dangerous Goods </t>
  </si>
  <si>
    <r>
      <t>Per Item</t>
    </r>
    <r>
      <rPr>
        <b/>
        <sz val="12"/>
        <color indexed="10"/>
        <rFont val="Arial"/>
        <family val="2"/>
      </rPr>
      <t xml:space="preserve"> (EACH FIELD </t>
    </r>
    <r>
      <rPr>
        <b/>
        <u/>
        <sz val="12"/>
        <color indexed="10"/>
        <rFont val="Arial"/>
        <family val="2"/>
      </rPr>
      <t>MUST BE FILLED</t>
    </r>
    <r>
      <rPr>
        <b/>
        <sz val="12"/>
        <color indexed="10"/>
        <rFont val="Arial"/>
        <family val="2"/>
      </rPr>
      <t xml:space="preserve"> EITHER BY Yes, No or number)</t>
    </r>
  </si>
  <si>
    <t>AANHANGWAGEN 15 KN AD</t>
  </si>
  <si>
    <t>TRAILER 15 KN GENERAL PURPOSE</t>
  </si>
  <si>
    <t>AANHANGWAGEN 15 KN WATER</t>
  </si>
  <si>
    <t>TRAILER 15 KN WATER</t>
  </si>
  <si>
    <t>AANHANGWAGEN 2.5 KN STINGER</t>
  </si>
  <si>
    <t>TRAILER 2.5 KN STINGER</t>
  </si>
  <si>
    <t>AANHANGWAGEN 25 KN INBOUW</t>
  </si>
  <si>
    <t>TRAILER 25 KN 2 AXES</t>
  </si>
  <si>
    <t>AANHANGWAGEN 4 KN STINGER</t>
  </si>
  <si>
    <t>TRAILER 4 KN STINGER</t>
  </si>
  <si>
    <t>AANHANGWAGEN 5 KN</t>
  </si>
  <si>
    <t>TRAILER 5 KN</t>
  </si>
  <si>
    <t>AANHANGWAGEN 60 KN UNI BM</t>
  </si>
  <si>
    <t>TRAILER 60 KN UNI BM</t>
  </si>
  <si>
    <t>AANHANGWAGEN AGGREGAAT 20 KW</t>
  </si>
  <si>
    <t>TRAILER GENERATOR 20 KW</t>
  </si>
  <si>
    <t>AANHANGWAGEN AGGREGAAT 25 KW</t>
  </si>
  <si>
    <t>TRAILER GENERATOR 25 KW</t>
  </si>
  <si>
    <t>AANHANGWAGEN AGGREGAAT 75 KW</t>
  </si>
  <si>
    <t>TRAILER GENERATOR 75 KW</t>
  </si>
  <si>
    <t>AANHANGWAGEN ATLAS COMPRESSOR</t>
  </si>
  <si>
    <t>TRAILER ATLAS COMPRESSOR</t>
  </si>
  <si>
    <t>AANHANGWAGEN BAS AMB 18KN</t>
  </si>
  <si>
    <t>TRAILER BAS AMB 18KN</t>
  </si>
  <si>
    <t>AANHANGWAGEN FASCINE</t>
  </si>
  <si>
    <t>TRAILER 60 KN FASCINE</t>
  </si>
  <si>
    <t>AANHANGWAGEN MIJNENLEGGER</t>
  </si>
  <si>
    <t>TRAILER MINELAYER</t>
  </si>
  <si>
    <t>AANHANGWAGEN MVK</t>
  </si>
  <si>
    <t>TRAILER FIELD KITCHEN</t>
  </si>
  <si>
    <t>AANHANGWAGEN VHT 45 KN</t>
  </si>
  <si>
    <t>TRAILER SPIJKSTAAL 45 KN FORKLIFT</t>
  </si>
  <si>
    <t>AMAROK</t>
  </si>
  <si>
    <t>VEHICLE AMAROK</t>
  </si>
  <si>
    <t>AMMAN AC110</t>
  </si>
  <si>
    <t>ROLLER VIBRATING AMMAN AC110</t>
  </si>
  <si>
    <t>ANACONDA</t>
  </si>
  <si>
    <t>ALL TERRAIN VEHICLE WHEELED IVECO ANACONDA</t>
  </si>
  <si>
    <t>ASTRA 12T</t>
  </si>
  <si>
    <t>TRUCK ASTRA 12 T</t>
  </si>
  <si>
    <t>ASTRA 8T</t>
  </si>
  <si>
    <t xml:space="preserve">TRUCK ASTRA 8 T </t>
  </si>
  <si>
    <t>BARV</t>
  </si>
  <si>
    <t>BEACH ARMOURED RECOVERY VEHICLE</t>
  </si>
  <si>
    <t>BOUWMACHINE WERKLUST</t>
  </si>
  <si>
    <t>ENGINEER EQUIPMENT WHEELED WERKLUST</t>
  </si>
  <si>
    <t>BOXER AMBULANCE</t>
  </si>
  <si>
    <t>CARRIER ARMOURED WHEELED BOXER AMBULANCE</t>
  </si>
  <si>
    <t>BOXER ARMOURED</t>
  </si>
  <si>
    <t xml:space="preserve">CARRIER ARMOURED WHEELED BOXER </t>
  </si>
  <si>
    <t>BOXER CARGO GNGP</t>
  </si>
  <si>
    <t>CARRIER ARMOURED WHEELED BOXER CARGO GNGP</t>
  </si>
  <si>
    <t>BOXER CARGO GNGP (INCL RCWS)</t>
  </si>
  <si>
    <t>CARRIER ARMOURED WHEELED BOXER CARGO GNGP WITH RCWS</t>
  </si>
  <si>
    <t>BOXER CP</t>
  </si>
  <si>
    <t>CARRIER ARMOURED WHEELED BOXER CP</t>
  </si>
  <si>
    <t>BOXER CP CARGO-C2</t>
  </si>
  <si>
    <t>CARRIER ARMOURED WHEELED BOXER CP CARGO-C2</t>
  </si>
  <si>
    <t>BOXER DTV</t>
  </si>
  <si>
    <t>CARRIER ARMOURED WHEELED BOXER DRIVER TRAINER VEHICLE</t>
  </si>
  <si>
    <t>BOZENA FRAME INCL VLEGELCOMPONENT</t>
  </si>
  <si>
    <t>MINE CLEARANCE SYSTEM BOZENA FRAME WITH FLAIL</t>
  </si>
  <si>
    <t>BOZENA FRAME ZONDER VLEGELCOMPONENT</t>
  </si>
  <si>
    <t>MINE CLEARANCE SYSTEM BOZENA FRAME WITHOUT FLAIL</t>
  </si>
  <si>
    <t>BOZENA INCL VLEGELCOMPONENT</t>
  </si>
  <si>
    <t>MINE CLEARANCE SYSTEM BOZENA WITH FLAIL</t>
  </si>
  <si>
    <t>BOZENA ZONDER VLEGELCOMPONENT</t>
  </si>
  <si>
    <t>MINE CLEARANCE SYSTEM BOZENA WITHOUT FLAIL</t>
  </si>
  <si>
    <t>BRIDGEBUILDBOAT</t>
  </si>
  <si>
    <t>BRIDGEBUILDBOAT+BAP</t>
  </si>
  <si>
    <t>BRIDGEBUILDBOAT WITH BRIDGE ADAPTER PALLET</t>
  </si>
  <si>
    <t>BRUG OP TOV</t>
  </si>
  <si>
    <t>BRIDGE ON TOV</t>
  </si>
  <si>
    <t>BRUGDEEL LEGUAAN</t>
  </si>
  <si>
    <t>BRIDGE-PART LEGUAAN</t>
  </si>
  <si>
    <t>BRUGDEEL LEOPARD 1 BRUGLEGGER</t>
  </si>
  <si>
    <t>BRIDGE-PART LEO TANK BRIDGE LAYER</t>
  </si>
  <si>
    <t>BUSHMASTER</t>
  </si>
  <si>
    <t>CARRIER ARMOURED WHEELED BUSHMASTER</t>
  </si>
  <si>
    <t>BUSHMASTER INTERROGATION ARM</t>
  </si>
  <si>
    <t>CARRIER ARMOURED WHEELED BUSHMASTER INTERROGATION ARM</t>
  </si>
  <si>
    <t>BUSHMASTER MET EOS SRWS</t>
  </si>
  <si>
    <t>CARRIER ARMOURED WHEELED BUSHMASTER WITH EOS SRWS</t>
  </si>
  <si>
    <t>BUSHMASTER MET RCWS</t>
  </si>
  <si>
    <t>CARRIER ARMOURED WHEELED BUSHMASTER WITH RCWS</t>
  </si>
  <si>
    <t>BUSHMASTER MET RING AFFUIT</t>
  </si>
  <si>
    <t>CARRIER ARMOURED WHEELED BUSHMASTER WITH GUN CARRIAGE</t>
  </si>
  <si>
    <t>BUSHMASTER ZONDER RCWS</t>
  </si>
  <si>
    <t>CARRIER ARMOURED WHEELED BUSHMASTER WITHOUT RCWS</t>
  </si>
  <si>
    <t>BV 206</t>
  </si>
  <si>
    <t>CARRIER TRACKED BV 206</t>
  </si>
  <si>
    <t>BV S10 VIKING</t>
  </si>
  <si>
    <t>CARRIER TRACKED BVS VIKING</t>
  </si>
  <si>
    <t>CAT DOZER LIER</t>
  </si>
  <si>
    <t>DOZER CATERPILLAR WITH WINCH</t>
  </si>
  <si>
    <t>CAT DOZER RIPPER</t>
  </si>
  <si>
    <t>DOZER CATERPILLAR RIPPER</t>
  </si>
  <si>
    <t>CATERPILLAR D6H</t>
  </si>
  <si>
    <t>DOZER CATERPILLAR D6H</t>
  </si>
  <si>
    <t>CLIMAX</t>
  </si>
  <si>
    <t>CV 9035 NLD MK III</t>
  </si>
  <si>
    <t>TANK TRACKED CV 9035 NLD MK III</t>
  </si>
  <si>
    <t>CV90 ARMOURED</t>
  </si>
  <si>
    <t>TANK TRACKED CV 90 ARMOURED</t>
  </si>
  <si>
    <t>CV90 LESVTG</t>
  </si>
  <si>
    <t>TANK TRACKED CV 90 INSTRUCTION</t>
  </si>
  <si>
    <t>DINGO</t>
  </si>
  <si>
    <t>VEHICLE ARMOURED WHEELED PERSONELL CARRIER DINGO</t>
  </si>
  <si>
    <t>ENDPONTOON</t>
  </si>
  <si>
    <t>ENDPONTOON + BAP</t>
  </si>
  <si>
    <t>ENDPONTOON WITH BRIDGE ADAPTER PALLET</t>
  </si>
  <si>
    <t>ESK MUNGO</t>
  </si>
  <si>
    <t>VEHICLE ARMOURED WHEELED TRANSPORT MUNGO ESK</t>
  </si>
  <si>
    <t>FENNEK</t>
  </si>
  <si>
    <t>VEHICLE RECCY WHEELED FENNEK</t>
  </si>
  <si>
    <t>FLATRACK BAP EMPTY</t>
  </si>
  <si>
    <t>FLATRACK KIPPER</t>
  </si>
  <si>
    <t>FLATRACK, EMPTY</t>
  </si>
  <si>
    <t>FLATRACK, NEST</t>
  </si>
  <si>
    <t>FUCHS ABC</t>
  </si>
  <si>
    <t>FUCHS WHEELED RECCY VEHICLE</t>
  </si>
  <si>
    <t>GLC 4CX-M</t>
  </si>
  <si>
    <t>BACKHOE LOADER 4CX-M</t>
  </si>
  <si>
    <t>GRAAFMACHINE JCB RUPS JS 130</t>
  </si>
  <si>
    <t xml:space="preserve">EXCAVATOR TRACKED JCB JS 130 </t>
  </si>
  <si>
    <t>GRAAFMACHINE JCB RUPS JS 200</t>
  </si>
  <si>
    <t xml:space="preserve">EXCAVATOR TRACKED JCB JS 200 </t>
  </si>
  <si>
    <t>GRAAFMACHINE JCB RUPS JS 240</t>
  </si>
  <si>
    <t xml:space="preserve">EXCAVATOR TRACKED JCB JS 240 </t>
  </si>
  <si>
    <t>GRAAFMACHINE JCB WIEL JS 130</t>
  </si>
  <si>
    <t>EXCAVATOR WHEELED JCB JS 130</t>
  </si>
  <si>
    <t>GRAAFMACHINE JCB WIEL JS 150</t>
  </si>
  <si>
    <t>EXCAVATOR WHEELED JCB JS 150</t>
  </si>
  <si>
    <t>GRADER CHAMPION 726</t>
  </si>
  <si>
    <t>GRADER CHAMPION 727</t>
  </si>
  <si>
    <t>HAMM 4011D Trilwals</t>
  </si>
  <si>
    <t>ROLLER VIBRATING ROAD HAMM 4011D</t>
  </si>
  <si>
    <t>HOOK-ARM CONTAINER</t>
  </si>
  <si>
    <t>CONTAINER HOOK-ARM</t>
  </si>
  <si>
    <t>JCB 4CXM</t>
  </si>
  <si>
    <t xml:space="preserve">BACKHOE LOADER JCB 4CXM </t>
  </si>
  <si>
    <t>JCB 803 PLUS TRACK</t>
  </si>
  <si>
    <t xml:space="preserve">EXCAVATOR TRACKED JCB 803 </t>
  </si>
  <si>
    <t>KERAX 8 X 4</t>
  </si>
  <si>
    <t>KIPPER RANAULT KERAX 8X4</t>
  </si>
  <si>
    <t>KIA RIO</t>
  </si>
  <si>
    <t>VEHICLE KIA RIO</t>
  </si>
  <si>
    <t>KOOIAAP</t>
  </si>
  <si>
    <t>FORKLIFT MOBILE (KOOIAAP)</t>
  </si>
  <si>
    <t>KTM</t>
  </si>
  <si>
    <t>MOTORCYCLE KTM</t>
  </si>
  <si>
    <t>KUBOTA 3T</t>
  </si>
  <si>
    <t>EXCAVATOR TRACKED KUBOTA 3T</t>
  </si>
  <si>
    <t>LARO AMBU LR 130 XD FIELD AMBU, ZAU KM</t>
  </si>
  <si>
    <t>JEEP LANDROVER LR 130 XD FIELD AMBULANCE</t>
  </si>
  <si>
    <t>LARO LR XD GENERAL</t>
  </si>
  <si>
    <t>JEEP LANDROVER LR XD GENERAL PURPOSE</t>
  </si>
  <si>
    <t>LARO LR XD HARDTOP FRT</t>
  </si>
  <si>
    <t>JEEP LANDROVER LR XD HARDTOP FRT</t>
  </si>
  <si>
    <t>LEGUAAN EXCL. BRUG</t>
  </si>
  <si>
    <t>TANK TRACKED LEOPARD 2 LEGUAAN BRIDGE LAYER WITHOUT BRIDGE PART</t>
  </si>
  <si>
    <t>LEGUAAN INCL. BRUG</t>
  </si>
  <si>
    <t>TANK TRACKED LEOPARD 2 LEGUAAN BRIDGE LAYER WITH BRIDGE PART</t>
  </si>
  <si>
    <t>LEOPARD 1 BRLG TK</t>
  </si>
  <si>
    <t>TANK TRACKED LEOPARD 1 BRIDGE LAYER</t>
  </si>
  <si>
    <t>LEOPARD 1 GN</t>
  </si>
  <si>
    <t>TANK TRACKED LEOPARD 1 ENGINEER</t>
  </si>
  <si>
    <t>LEOPARD 1 LESVTG</t>
  </si>
  <si>
    <t>TANK TRACKED LEOPARD 1 INSTRUCTION</t>
  </si>
  <si>
    <t>LEOPARD 1 PRB</t>
  </si>
  <si>
    <t>TANK TRACKED LEOPARD 1 RECOVERY</t>
  </si>
  <si>
    <t>LEOPARD 1 PRTL/CHEETAH</t>
  </si>
  <si>
    <t>TANK TRACKED LEOPARD CHEETAH</t>
  </si>
  <si>
    <t>LEOPARD 2 A 6</t>
  </si>
  <si>
    <t>TANK TRACKED LEOPARD 2 A 6</t>
  </si>
  <si>
    <t>LEOPARD 2 A6 LESVTG</t>
  </si>
  <si>
    <t>TANK TRACKED LEOPARD 2 A 6 INSTRUCTION</t>
  </si>
  <si>
    <t>LEOPARD 2 A6 MA2</t>
  </si>
  <si>
    <t>TANK TRACKED LEOPARD 2 A 6 MA2</t>
  </si>
  <si>
    <t>LEOPARD 2 GENIETANK "KODIAK"</t>
  </si>
  <si>
    <t>TANK TRACKED LEOPARD 2 ENGINEER</t>
  </si>
  <si>
    <t>LEOPARD 2 PRB</t>
  </si>
  <si>
    <t>TANK TRACKED LEOPARD 2 RECOVERY</t>
  </si>
  <si>
    <t>LEOPARD 2A6M</t>
  </si>
  <si>
    <t>TANK TRACKED LEOPARD 2A6M</t>
  </si>
  <si>
    <t>LIEBHERR FKM</t>
  </si>
  <si>
    <t>MOBILE CRANE LIEBHERR FKM 200 KN</t>
  </si>
  <si>
    <t>LIEBHERR LTM</t>
  </si>
  <si>
    <t>MOBILE CRANE LIEBHERR LTM 700 KN</t>
  </si>
  <si>
    <t>LIFTING BEAM ROADMAT MLC 70</t>
  </si>
  <si>
    <t>LIFTING BEAM ROADMAT MLC 71</t>
  </si>
  <si>
    <t>LSV GWT</t>
  </si>
  <si>
    <t>AIR MOBILE LIGHT SPECIAL VEHICLE AMBULANCE</t>
  </si>
  <si>
    <t>LSV LOHR AD</t>
  </si>
  <si>
    <t>AIR MOBILE LIGHT SPECIAL VEHICLE LOHR GENERAL PURPOSE</t>
  </si>
  <si>
    <t>LSV VLA</t>
  </si>
  <si>
    <t>AIR MOBILE LIGHT SPECIAL VEHICLE VLA</t>
  </si>
  <si>
    <t>LSV VLB</t>
  </si>
  <si>
    <t>AIR MOBILE LIGHT SPECIAL VEHICLE VLB</t>
  </si>
  <si>
    <t>LUNA</t>
  </si>
  <si>
    <t xml:space="preserve">FORKLIFT CONTAINER LUNA </t>
  </si>
  <si>
    <t>LYNX</t>
  </si>
  <si>
    <t>TANK TRACKED LYNX</t>
  </si>
  <si>
    <t>M577</t>
  </si>
  <si>
    <t>CARRIER ARMOURED TRACKED M577</t>
  </si>
  <si>
    <t>MAN + ROADMAT MLC-70</t>
  </si>
  <si>
    <t>MATLAYER WHEELED MAN WITH ROADMAT MLC-70</t>
  </si>
  <si>
    <t>MAN + ROADMAT MLC-70/14</t>
  </si>
  <si>
    <t>MATLAYER WHEELED MAN WITH ROADMAT MLC-70/14</t>
  </si>
  <si>
    <t>MAN + ROADMAT MLC-70/18</t>
  </si>
  <si>
    <t>MATLAYER WHEELED MAN WITH ROADMAT MLC-70/18</t>
  </si>
  <si>
    <t>MAN TRML</t>
  </si>
  <si>
    <t>MOBILE RADAR SYSTEM MAN TRML</t>
  </si>
  <si>
    <t>Manticore</t>
  </si>
  <si>
    <t>VEHICLE ARMOURED WHEELED IVECO MANTICORE</t>
  </si>
  <si>
    <t>MB 10 KN AD</t>
  </si>
  <si>
    <t>ALL TERRAIN VEHICLE MB 290 GD 10 KN GENERAL PURPOSE</t>
  </si>
  <si>
    <t>MB 10 KN GWT</t>
  </si>
  <si>
    <t>ALL TERRAIN VEHICLE MB 290 GD 10 KN AMBULANCE</t>
  </si>
  <si>
    <t>MB 12 KN GWT</t>
  </si>
  <si>
    <t>ALL TERRAIN VEHICLE MB 290 GD 12 KN AMBULANCE</t>
  </si>
  <si>
    <t>MB 280 CDI</t>
  </si>
  <si>
    <t>ALL TERRAIN VEHICLE MB 280 CDI</t>
  </si>
  <si>
    <t>MB 290 CDI</t>
  </si>
  <si>
    <t>ALL TERRAIN VEHICLE MB 290 CDI</t>
  </si>
  <si>
    <t>MB 5 KN AD</t>
  </si>
  <si>
    <t>ALL TERRAIN VEHICLE MB 290GD 5 KN GENERAL PURPOSE</t>
  </si>
  <si>
    <t>MB 5 KN AD INSTR</t>
  </si>
  <si>
    <t>ALL TERRAIN VEHICLE MB 290 GD 5 KN GP INSTRUCTION</t>
  </si>
  <si>
    <t>MB 5 KN AD SCOUT</t>
  </si>
  <si>
    <t>ALL TERRAIN VEHICLE MB 290 GD 5 KN GP SCOUT</t>
  </si>
  <si>
    <t>MB 5 KN LUMBL</t>
  </si>
  <si>
    <t>ALL TERRAIN VEHICLE MB 290 GD 5 KN AMB</t>
  </si>
  <si>
    <t>MB 609 VOU</t>
  </si>
  <si>
    <t>VEHICLE TRANSPORT MB 609 VOU</t>
  </si>
  <si>
    <t>MB 7.5 KN AD</t>
  </si>
  <si>
    <t>ALL TERRAIN VEHICLE MERCEDES 290 GD 7,5 KN GENERAL PURPOSE</t>
  </si>
  <si>
    <t>MB 7.5 KN SOFTOP</t>
  </si>
  <si>
    <t>ALL TERRAIN VEHICLE MERCEDES 290 GD 7,5 KN GP SOFTTOP</t>
  </si>
  <si>
    <t>MB SPRINTER 315 CDI KMAR</t>
  </si>
  <si>
    <t xml:space="preserve">VEHICLE MILTARY POLICE MB SPRINTER 315 CDI </t>
  </si>
  <si>
    <t>MB VARIO 815D</t>
  </si>
  <si>
    <t>VEHICLE TRANSPORT MB VARIO 815D</t>
  </si>
  <si>
    <t>MIDDLEPONTOON</t>
  </si>
  <si>
    <t>MIDDLEPONTOON +BAP</t>
  </si>
  <si>
    <t>MIDDLEPONTOON WITH BRIDGE ADAPTER PALLET</t>
  </si>
  <si>
    <t>MISSIONMASTER</t>
  </si>
  <si>
    <t>VEHICLE WHEELED AUTONOMOUS MISSION MASTER</t>
  </si>
  <si>
    <t>PANDUR 1</t>
  </si>
  <si>
    <t>CARRIER ARMOURED WHEELED PANDUR 1</t>
  </si>
  <si>
    <t>PATRIA XA 188</t>
  </si>
  <si>
    <t>CARRIER ARMOURED WHEELED PATRIA XA 188</t>
  </si>
  <si>
    <t>PIR AMBU</t>
  </si>
  <si>
    <t>CARRIER ARMOURED WHEELED PIR MEDIVAC</t>
  </si>
  <si>
    <t>PIR DF30</t>
  </si>
  <si>
    <t>CARRIER ARMOURED WHEELED PIR DF30</t>
  </si>
  <si>
    <t>PIR DF90</t>
  </si>
  <si>
    <t>CARRIER ARMOURED WHEELED PIR DF90</t>
  </si>
  <si>
    <t>PIR ENG</t>
  </si>
  <si>
    <t>CARRIER ARMOURED WHEELED PIR ENGINEER</t>
  </si>
  <si>
    <t>PIR FUS</t>
  </si>
  <si>
    <t>CARRIER ARMOURED WHEELED PIR FUSILIER</t>
  </si>
  <si>
    <t>PIR PC</t>
  </si>
  <si>
    <t>CARRIER ARMOURED WHEELED PIR PIONEER &amp; CONSTRUCTION</t>
  </si>
  <si>
    <t>PIR REC</t>
  </si>
  <si>
    <t>CARRIER ARMOURED WHEELED PIR RECONNAISSANCE</t>
  </si>
  <si>
    <t>POLARIS AHW</t>
  </si>
  <si>
    <t>TRAILER POLARIS COMBAT VEHICLE</t>
  </si>
  <si>
    <t>POLARIS MRZR D2</t>
  </si>
  <si>
    <t>VEHICLE COMBAT WHEELED POLARIS MRZR D2</t>
  </si>
  <si>
    <t>POLARIS MRZR D4</t>
  </si>
  <si>
    <t>VEHICLE COMBAT WHEELED POLARIS MRZR D4</t>
  </si>
  <si>
    <t>PZH 2000</t>
  </si>
  <si>
    <t>HOWITZER ARMOURED PzH 2000</t>
  </si>
  <si>
    <t>PZH 2000 LESUITVOERING</t>
  </si>
  <si>
    <t>HOWITZER ARMOURED PzH 2000 INSTRUCTION</t>
  </si>
  <si>
    <t>PZH 2000 MET DAKBESCHERMING</t>
  </si>
  <si>
    <t>HOWITZER ARMOURED PzH 2000 WITH ROOFCOVER</t>
  </si>
  <si>
    <t>QUAD</t>
  </si>
  <si>
    <t>VEHICLE QUAD SUZUKI KING</t>
  </si>
  <si>
    <t>RENAULT TWINGO</t>
  </si>
  <si>
    <t>VEHICLE RENAULT TWINGO</t>
  </si>
  <si>
    <t>ROADMAT PALLET MLC 70/14</t>
  </si>
  <si>
    <t>ROADMAT PALLET MLC 70/15</t>
  </si>
  <si>
    <t>RUPSDOZER HANOMAG 680 E (BULL)</t>
  </si>
  <si>
    <t>DOZER TRACKED HANOMAG 680 E (BULL)</t>
  </si>
  <si>
    <t>RUPSDOZER HANOMAG D680 E (ANGLE)</t>
  </si>
  <si>
    <t>DOZER TRACKED HANOMAG D680 E (ANGLE)</t>
  </si>
  <si>
    <t>SCANIA ALK</t>
  </si>
  <si>
    <t>TRUCK SCANIA CONT TRANSPORT TYPE A (ALC)</t>
  </si>
  <si>
    <t>SCANIA CHU</t>
  </si>
  <si>
    <t>TRUCK SCANIA CONT TRANSPORT TYPE B (CHU)</t>
  </si>
  <si>
    <t>SCANIA CHU FR</t>
  </si>
  <si>
    <t>SCANIA GRYPHUS</t>
  </si>
  <si>
    <t>TRUCK SCANIA GRYPHUS</t>
  </si>
  <si>
    <t>SCANIA KIPPER</t>
  </si>
  <si>
    <t>KIPPER SCANIA</t>
  </si>
  <si>
    <t>SCANIA LAUNCHER</t>
  </si>
  <si>
    <t>SCANIA ZLS</t>
  </si>
  <si>
    <t>SCANIA SIDELOADER</t>
  </si>
  <si>
    <t>SKODA YETI</t>
  </si>
  <si>
    <t>VEHICLE SKODA YETI</t>
  </si>
  <si>
    <t>TELEHANDLER 15 KN</t>
  </si>
  <si>
    <t>TRAILER  15 KN AD</t>
  </si>
  <si>
    <t>TRAILER 12,5 KVA</t>
  </si>
  <si>
    <t xml:space="preserve">TRAILER 20 KN MVHT </t>
  </si>
  <si>
    <t>TRAILER 20 KN MOBILE FORFLIFT ( KOOIAAP)</t>
  </si>
  <si>
    <t>TRAILER 25 KN SARIS</t>
  </si>
  <si>
    <t xml:space="preserve">TRAILER 25 KN GENERAL PURPOSE SARIS </t>
  </si>
  <si>
    <t>TRAILER 34 KW</t>
  </si>
  <si>
    <t>TRAILER 45 5 KVA</t>
  </si>
  <si>
    <t>TRAILER BROSHUIS 280 KN</t>
  </si>
  <si>
    <t>TRAILER BROSHUIS 400 KN</t>
  </si>
  <si>
    <t>TRAILER BROSHUIS 650 KN</t>
  </si>
  <si>
    <t>TRAILER BURG 165 KN</t>
  </si>
  <si>
    <t>TRAILER BURG 165 KN W NEST</t>
  </si>
  <si>
    <t>TRAILER CLIMAX</t>
  </si>
  <si>
    <t>TRAILER DA-1000</t>
  </si>
  <si>
    <t>TRAILER HOW 105MM</t>
  </si>
  <si>
    <t>TRAILER KITCHEN TFK 250</t>
  </si>
  <si>
    <t>TRAILER MORTAR</t>
  </si>
  <si>
    <t>TRAILER MPQ</t>
  </si>
  <si>
    <t>TRAILER OMW</t>
  </si>
  <si>
    <t>TRAILER WITH WORKSPACE</t>
  </si>
  <si>
    <t>TRAILER POON</t>
  </si>
  <si>
    <t>TRAILER SATCOM</t>
  </si>
  <si>
    <t>TRAILER SMAG</t>
  </si>
  <si>
    <t>TRAILER WERLUST LOADED</t>
  </si>
  <si>
    <t>UNIMOG</t>
  </si>
  <si>
    <t>TRUCK UNIMOG</t>
  </si>
  <si>
    <t>VECTOR</t>
  </si>
  <si>
    <t>ALL TERRAIN VEHICLE WHEELED VECTOR</t>
  </si>
  <si>
    <t>VELDAMBULANCE VAU 12KN 4X4</t>
  </si>
  <si>
    <t>FIELD AMBULANCE 12 KN 4x4 (MARINES)</t>
  </si>
  <si>
    <t>VOLVO EC220 BEL</t>
  </si>
  <si>
    <t>EXCAVATOR TRACKED VOLVO EC 220 BEL</t>
  </si>
  <si>
    <t>VOLVO GRAAFMACHINE EC220DL</t>
  </si>
  <si>
    <t>EXCAVATOR TRACKED VOLVO EC 220 DL</t>
  </si>
  <si>
    <t>VOLVO KIPPER</t>
  </si>
  <si>
    <t>KIPPER VOLVO</t>
  </si>
  <si>
    <t>VOLVO W/CRANE</t>
  </si>
  <si>
    <t>VW T5</t>
  </si>
  <si>
    <t xml:space="preserve">VEHICLE TRANSPORT VW T5 </t>
  </si>
  <si>
    <t>YA 4442</t>
  </si>
  <si>
    <t>TRUCK YA 4442</t>
  </si>
  <si>
    <t>YA 5444</t>
  </si>
  <si>
    <t>TRUCK YA 5444</t>
  </si>
  <si>
    <t>YAC 2300 (EXCL CONTAINER)</t>
  </si>
  <si>
    <t>TRUCK YAC 2300 WITHOUT CONTAINER</t>
  </si>
  <si>
    <t>YAC 2300 (INCL CONTAINER)</t>
  </si>
  <si>
    <t>TRUCK YAC 2300 WITH CONTAINER</t>
  </si>
  <si>
    <t>YAD/YDD-4442</t>
  </si>
  <si>
    <t>TRUCK YAD-4442 GENERAL PURPOSE</t>
  </si>
  <si>
    <t>YAI 4442</t>
  </si>
  <si>
    <t>TRUCK YAI 4442</t>
  </si>
  <si>
    <t>YAJ 4442</t>
  </si>
  <si>
    <t xml:space="preserve">TRUCK YAJ 4442 </t>
  </si>
  <si>
    <t>YAK 4442</t>
  </si>
  <si>
    <t xml:space="preserve">TRUCK YAK 4442 </t>
  </si>
  <si>
    <t>YAP 4442</t>
  </si>
  <si>
    <t xml:space="preserve">TRUCK YAP 4442 </t>
  </si>
  <si>
    <t>YAS 2300</t>
  </si>
  <si>
    <t xml:space="preserve">TRUCK YAS 2300 </t>
  </si>
  <si>
    <t>YAS 4442</t>
  </si>
  <si>
    <t>TRUCK YAS 4442</t>
  </si>
  <si>
    <t>YAZ 2300</t>
  </si>
  <si>
    <t>TRUCK YAZ 2300</t>
  </si>
  <si>
    <t>YAZ 2300 MDI</t>
  </si>
  <si>
    <t>TRUCK YAZ 2300 MIDI</t>
  </si>
  <si>
    <t>YBB 480</t>
  </si>
  <si>
    <t>TRUCK YBB 480</t>
  </si>
  <si>
    <t>YBZ 3300</t>
  </si>
  <si>
    <t>TRUCK YBZ 3300 RECOVERY</t>
  </si>
  <si>
    <t>YCD 2300</t>
  </si>
  <si>
    <t>TRUCK YCD 2300</t>
  </si>
  <si>
    <t>YCS 4442</t>
  </si>
  <si>
    <t>TRUCK YCS 4442</t>
  </si>
  <si>
    <t>YCZ 2300</t>
  </si>
  <si>
    <t>TRUCK YCZ 2300</t>
  </si>
  <si>
    <t>YCZ 3300</t>
  </si>
  <si>
    <t xml:space="preserve">TRUCK YCZ 3300 </t>
  </si>
  <si>
    <t>YDZ 2300</t>
  </si>
  <si>
    <t>TRUCK YDZ 2300 WATER</t>
  </si>
  <si>
    <t>YF 4442 BDM</t>
  </si>
  <si>
    <t>TRUCK YF 4442 FUEL</t>
  </si>
  <si>
    <t>YFZ 2300</t>
  </si>
  <si>
    <t>TRUCK YFZ 2300 FUEL</t>
  </si>
  <si>
    <t>YGZ 2300</t>
  </si>
  <si>
    <t>TRUCK YGZ 2300 ENGINEERS BRIDGE</t>
  </si>
  <si>
    <t>YGZ 2300 MET MAT MLC 30</t>
  </si>
  <si>
    <t>TRUCK YGZ 2300 ENGINEERS BRIDGE WITH MAT MLC 30</t>
  </si>
  <si>
    <t>YGZ 2300 MET PONTON</t>
  </si>
  <si>
    <t>TRUCK YGZ 2300 ENGINEERS BRIDGE WITH PONTOON</t>
  </si>
  <si>
    <t>YHZ 2300</t>
  </si>
  <si>
    <t>TRUCK YHZ 2300</t>
  </si>
  <si>
    <t>YKZ 2300</t>
  </si>
  <si>
    <t>TRUCK YKZ 2300 TIPPER</t>
  </si>
  <si>
    <t>YPR 765 KMAR</t>
  </si>
  <si>
    <t>CARRIER ARMOURED TRACKED YPR 765 MILITARY POLICE</t>
  </si>
  <si>
    <t>YPR 765 KMAR M DOZERBLAD</t>
  </si>
  <si>
    <t>CARRIER ARMOURED TRACKED YPR 765 MP WITH DOZER</t>
  </si>
  <si>
    <t>YPR 765 LESVTG</t>
  </si>
  <si>
    <t>CARRIER ARMOURED TRACKED YPR 765 INSTRUCTION</t>
  </si>
  <si>
    <t>YPR 765 PRBDR</t>
  </si>
  <si>
    <t>CARRIER ARMOURED TRACKED YPR 765 BDR</t>
  </si>
  <si>
    <t>YPR 765 PRCO-B</t>
  </si>
  <si>
    <t>CARRIER ARMOURED TRACKED YPR 765 CO-B</t>
  </si>
  <si>
    <t>YPR 765 PRCO-C1/4</t>
  </si>
  <si>
    <t>CARRIER ARMOURED TRACKED YPR 765 CO-C1/4</t>
  </si>
  <si>
    <t>YPR 765 PRCO-C2</t>
  </si>
  <si>
    <t>CARRIER ARMOURED TRACKED YPR 765 CO-C2</t>
  </si>
  <si>
    <t>YPR 765 PRCO-C3</t>
  </si>
  <si>
    <t>CARRIER ARMOURED TRACKED YPR 765 CO-C3</t>
  </si>
  <si>
    <t>YPR 765 PRCO-C5</t>
  </si>
  <si>
    <t>CARRIER ARMOURED TRACKED YPR 765 CO-C5</t>
  </si>
  <si>
    <t>YPR 765 PRGN</t>
  </si>
  <si>
    <t>CARRIER ARMOURED TRACKED YPR 765 ENGINEER</t>
  </si>
  <si>
    <t>YPR 765 PRGWT</t>
  </si>
  <si>
    <t>CARRIER ARMOURED TRACKED YPR 765 AMBULANCE</t>
  </si>
  <si>
    <t>YPR 765 PRMR</t>
  </si>
  <si>
    <t>CARRIER ARMOURED TRACKED YPR 765 MORTAR</t>
  </si>
  <si>
    <t>YPR 765 PRV</t>
  </si>
  <si>
    <t>CARRIER ARMOURED TRACKED YPR 765 FREIGHT</t>
  </si>
  <si>
    <t>YPR 765-PRAT</t>
  </si>
  <si>
    <t>CARRIER ARMOURED TRACKED YPR 765 ANTI TANK</t>
  </si>
  <si>
    <t>YPR 765-PRI</t>
  </si>
  <si>
    <t>CARRIER ARMOURED TRACKED YPR 765 INFANTRY</t>
  </si>
  <si>
    <t>YPR 806 PRB</t>
  </si>
  <si>
    <t>CARRIER ARMOURED TRACKED YPR 806 RECOVERY</t>
  </si>
  <si>
    <t>YTV 2300</t>
  </si>
  <si>
    <t xml:space="preserve">TRUCK YTV 2300 </t>
  </si>
  <si>
    <t>YTV 2300 M OPLEGGER BROSHUIS</t>
  </si>
  <si>
    <t>TRUCK YTV 2300/TRAILER BROSHUIS</t>
  </si>
  <si>
    <t>YTV 2300/OPLEGGER BTM</t>
  </si>
  <si>
    <t xml:space="preserve">TRUCK YTV 2300/TRAILER FUEL BTM </t>
  </si>
  <si>
    <t>YTV 2300/OPLEGGER HOEKSTRA</t>
  </si>
  <si>
    <t>TRUCK YTV 2300/TRAILER HOEKSTRA</t>
  </si>
  <si>
    <t>YTV 2300/OPLEGGER STAU</t>
  </si>
  <si>
    <t>TRUCK YTV 2300/TRAILER STAU</t>
  </si>
  <si>
    <t>YTZ 2300</t>
  </si>
  <si>
    <t xml:space="preserve">TRUCK YTZ 2300 </t>
  </si>
  <si>
    <t>YTZ 480</t>
  </si>
  <si>
    <t xml:space="preserve">TRUCK YTZ 480 </t>
  </si>
  <si>
    <t>YTZ 480 ARMOURED</t>
  </si>
  <si>
    <t>TRUCK YTZ 480 ARMOURED</t>
  </si>
  <si>
    <t>YTZ 530</t>
  </si>
  <si>
    <t xml:space="preserve">TRUCK YTZ 530 </t>
  </si>
  <si>
    <t>YTZ 530 ARMOURED</t>
  </si>
  <si>
    <t>TRUCK YTZ 530 ARMOURED</t>
  </si>
  <si>
    <t>YWZ 2300 (EXCL MOGOS CONT)</t>
  </si>
  <si>
    <t>TRUCK YWZ 2300 CONTAINER WITHOUT MEDICAL CONT</t>
  </si>
  <si>
    <t>YWZ 2300 (INCL MOGOS CONT)</t>
  </si>
  <si>
    <t>TRUCK YWZ 2300 CONTAINER WITH MEDICAL CONT</t>
  </si>
  <si>
    <t>YWZ 3300 (EXCL CONTAINER)</t>
  </si>
  <si>
    <t>TRUCK YWZ 3300 CONTAINER WITHOUT CONTAINER</t>
  </si>
  <si>
    <t>YWZ 3300 (INCL CONTAINER A 10 TON)</t>
  </si>
  <si>
    <t>TRUCK YWZ 3300 CONTAINER WITH CONTAINER A 10 TON</t>
  </si>
  <si>
    <t xml:space="preserve">SPECIFICATIONS </t>
  </si>
  <si>
    <t>LENGTH (CM)</t>
  </si>
  <si>
    <t>WIDTH (CM)</t>
  </si>
  <si>
    <t>HEIGHT (CM)</t>
  </si>
  <si>
    <t>WEIGHT (KG)</t>
  </si>
  <si>
    <t>MATNR (SAP)</t>
  </si>
  <si>
    <t>Invulinstructie:</t>
  </si>
  <si>
    <t>Indien men gebruik maakt van een ferryovertocht dient u ook appendix E1 in te vullen</t>
  </si>
  <si>
    <t>TBB Category</t>
  </si>
  <si>
    <t>Tekst in het Engels in te vullen</t>
  </si>
  <si>
    <t>De benamingen zoals deze in kolom B (SPECIFICATIONS) staan dienen gebruikt te worden in kolom D (SPECIFICATIONS) van de appendix A1.</t>
  </si>
  <si>
    <t xml:space="preserve">Indien de maten en gewichten meegekopieerd moeten worden naar de appendix A1 dan dient de regel zoals deze roodomlijnd is, in de tabel hieronder, geselecteerd te worden. </t>
  </si>
  <si>
    <t>Bij het invullen van het aantal items in de kolom E (QUANTITY) worden de lege velden m.b.t. maten en gewichten ingevuld.</t>
  </si>
  <si>
    <t>Indien u lading heeft voor grensoverschrijdend vervoer, moet u er rekening mee houden dat u per omverpakking, voertuig of aanhanger een beladings- cq paklijst moet kunnen overleggen met daarop de gegevens conform appendix B</t>
  </si>
  <si>
    <t>modificaties die leiden tot aangepaste maten en gewichten kunnen hier nog niet in zijn opgenomen.</t>
  </si>
  <si>
    <t>De Road Transport Cell (NMCC) is er samen met bedrijfsvoering (DVVO) verantwoordelijk voor om de onderstaande tabel indien nodig te updaten.</t>
  </si>
  <si>
    <t>Surface</t>
  </si>
  <si>
    <t xml:space="preserve">6. </t>
  </si>
  <si>
    <t xml:space="preserve">7. </t>
  </si>
  <si>
    <t>Bij het plakken in de appendix dient er op "Plakken speciaal" geklikt te worden</t>
  </si>
  <si>
    <t>Daarna dient er een vinkje gezet te worden bij "Lege cellen overslaan". Dit zorgt er voor dat de formules in de Appendix A1 niet worden overschreven.</t>
  </si>
  <si>
    <t>m²</t>
  </si>
  <si>
    <t>m³</t>
  </si>
  <si>
    <t xml:space="preserve">8. </t>
  </si>
  <si>
    <t>(lbs)</t>
  </si>
  <si>
    <t>Indien de aanhanger los vervoerd wordt, wordt het "Line number" wel ingevuld</t>
  </si>
  <si>
    <t>Indien een voertuig een aanhanger trekt, dient de aanhanger op de regel onder het trekkende voertuig te worden gespecificeerd. Het "Line number" van de aanhanger blijft leeg</t>
  </si>
  <si>
    <t xml:space="preserve">Indien een voertuig een container oid draagt, dient dit duidelijk te worden aangegeven in de "Specifications" </t>
  </si>
  <si>
    <t>Benamingen van voertuigen uit het Tabblad "Overzicht materieel" dienen te worden gehanteerd. Zie ook de invulinstructie op dat tabblad</t>
  </si>
  <si>
    <t xml:space="preserve"> Appendix D </t>
  </si>
  <si>
    <t>DANGEROUS GOODS</t>
  </si>
  <si>
    <t>Route from - to:</t>
  </si>
  <si>
    <t>BA code / serial nr:</t>
  </si>
  <si>
    <t>Vehicle / Container / Palletnumber (see appendix A1):</t>
  </si>
  <si>
    <t>Nr</t>
  </si>
  <si>
    <t>Data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</si>
  <si>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</si>
  <si>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</si>
  <si>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</si>
  <si>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</si>
  <si>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</si>
  <si>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</si>
  <si>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</si>
  <si>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</si>
  <si>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</si>
  <si>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</si>
  <si>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</si>
  <si>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</si>
  <si>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</si>
  <si>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</si>
  <si>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</si>
  <si>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UN Number</t>
  </si>
  <si>
    <t>Proper Shipping Name (PSN)</t>
  </si>
  <si>
    <t>Class</t>
  </si>
  <si>
    <t>Subsidiary risk(s)</t>
  </si>
  <si>
    <t>Packing group</t>
  </si>
  <si>
    <t>Packing Instruction</t>
  </si>
  <si>
    <t>Flashpoint</t>
  </si>
  <si>
    <t>Type of package</t>
  </si>
  <si>
    <t>Quantity of package's</t>
  </si>
  <si>
    <t>Quantity of items per package</t>
  </si>
  <si>
    <t>Net explosive mass per article</t>
  </si>
  <si>
    <t>Total net explosive mass per package</t>
  </si>
  <si>
    <t>Total net explosive mass for all packages</t>
  </si>
  <si>
    <t>Net mass per finished article</t>
  </si>
  <si>
    <t>Net mass finished articles per package</t>
  </si>
  <si>
    <t>Net mass finished articles for all packages</t>
  </si>
  <si>
    <t>Net mass / liters per package</t>
  </si>
  <si>
    <t>Gross mass per package</t>
  </si>
  <si>
    <t>Gross mass for all packages</t>
  </si>
  <si>
    <t>EQ / LQ / Points</t>
  </si>
  <si>
    <t>Dimensions package l/w/h in cm and weight in kg</t>
  </si>
  <si>
    <t xml:space="preserve">Additional information </t>
  </si>
  <si>
    <t>Caliber in mm or inch</t>
  </si>
  <si>
    <t>Explanation:</t>
  </si>
  <si>
    <t>Four-digit identification number. Please note: In air transport some dangerous goods do not have a UN-number but an ID-number.</t>
  </si>
  <si>
    <t>Proper Shipping Name of the dangerous goods listed in the Dangerous Goods List.</t>
  </si>
  <si>
    <t>Class (1-9) assigned to the substance or article according to the classification system.</t>
  </si>
  <si>
    <t>Subsidiary risk, when applicable. The subsidiary risk can affect segregation.</t>
  </si>
  <si>
    <t>Packing group (PG) is mandatory (except for class 1, 2 and 7).</t>
  </si>
  <si>
    <t>Mention the Packing Instruction</t>
  </si>
  <si>
    <t>Flashpoint only for sea transport of a flammable liquid.</t>
  </si>
  <si>
    <t>Type of packaging (box, drum, jerrican, bag). In case of a UN tested package the code designating the type of packaging may be used (for example: 4A, 4G, 1A2, 2C1, 3A1, 5H1, etc.).</t>
  </si>
  <si>
    <t>Mention the amount of packages.</t>
  </si>
  <si>
    <t>Mention the amount of items per package.</t>
  </si>
  <si>
    <t>Only applicable on class 1, total weight in kg of the explosive content per item, NEW (e.g.. per bullet)</t>
  </si>
  <si>
    <t>Only applicable on class 1, total weight in kg of the explosive content per package, NEW.</t>
  </si>
  <si>
    <t>Only applicable on class 1, total weight in kg of the explosive content for all packages, NEW.</t>
  </si>
  <si>
    <t>Only applicable on class 1 by air transport, the net weight per finished article (e.g. per bullet).</t>
  </si>
  <si>
    <t>Only applicable on class 1 by air transport, the net weight per package.</t>
  </si>
  <si>
    <t>Only applicable on class 1 by air transport, the net weight for all packages.</t>
  </si>
  <si>
    <r>
      <t xml:space="preserve">The weight of the article or goods per package </t>
    </r>
    <r>
      <rPr>
        <i/>
        <sz val="10"/>
        <rFont val="Arial"/>
        <family val="2"/>
      </rPr>
      <t>without</t>
    </r>
    <r>
      <rPr>
        <sz val="10"/>
        <rFont val="Arial"/>
        <family val="2"/>
      </rPr>
      <t xml:space="preserve"> the weight of the inner- and outer package.</t>
    </r>
  </si>
  <si>
    <t>The total weight of the package and content.</t>
  </si>
  <si>
    <t>The total weight of all packages and content.</t>
  </si>
  <si>
    <t>Exemptions used:  Excepted Quantities / Limited Quantities / ADR 1.1.3.6 (Exemptions related to quantities carried per transport unit).</t>
  </si>
  <si>
    <t>All other relevant information concerning the transport.</t>
  </si>
  <si>
    <t>Caliber of ball or grenade in mm</t>
  </si>
  <si>
    <t>Toelichting:</t>
  </si>
  <si>
    <t>Het vier-cijferig stof-identificatienummer. NB: In het luchtvervoer hebben enkele stoffen geen UN-nummer maar een ID-nummer.</t>
  </si>
  <si>
    <t>De officiële vervoersbenaming (Proper Shipping Name) van de gevaarlijke stof. Zie stofopsommingslijst in de betreffende regelgeving.</t>
  </si>
  <si>
    <t>De gevarenklasse (keuze uit klasse 1 t/m 9) van de groep stoffen waarin de gevaarlijke stof is ingedeeld tijdens het vervoer.</t>
  </si>
  <si>
    <t>Alleen in te vullen indien van toepassing, het bijkomend gevaar is mede van invloed op de samenlading.</t>
  </si>
  <si>
    <t>De verpakkingsgroep (PG) moet verplicht ingevuld worden bij vervoer van gevaarlijke stoffen (behalve bij stoffen uit de klasse 1, 2 en 7).</t>
  </si>
  <si>
    <t>Vermelding van de verpakkingsinstructie</t>
  </si>
  <si>
    <t>Het vlampunt is alleen van toepassing bij zeevervoer van een brandbare vloeistof.</t>
  </si>
  <si>
    <t>Het type verpakking (kist, doos, vat, ton, jerrycan, zak). In geval van een UN gekeurde verpakking mag als aanvulling het keurings kenmerk vermeld worden (bijvoorbeeld: 4A, 4G, 1A2, 2C1, 3A1, 5H1, enz.).</t>
  </si>
  <si>
    <t>Vermelding van het aantal verpakkingen .</t>
  </si>
  <si>
    <t>Vermelding van het aantal aantal stuks per verpakking.</t>
  </si>
  <si>
    <t>Alleen van toepassing op gevarenklasse 1. Het totaalgewicht in kg van de explosieve inhoud van het artikel, de NEQ (bv per kogel).</t>
  </si>
  <si>
    <t>Alleen van toepassing op gevarenklasse 1. Het totaalgewicht in kg van de explosieve inhoud, de NEQ van alle artikelen in de verpakking.</t>
  </si>
  <si>
    <t>Alleen van toepassing op gevarenklasse 1. Het totaalgewicht in kg van de explosieve inhoud, de NEQ van alle artikelen in alle verpakkingen.</t>
  </si>
  <si>
    <t>Alleen van toepassing op gevarenklasse 1 bij luchtvervoer. Het netto gewicht per afgewerkt artikel (bv per kogel).</t>
  </si>
  <si>
    <t>Alleen van toepassing op gevarenklasse 1 bij luchtvervoer. Het netto gewicht van alle afgewerkte artikelen per verpakking.</t>
  </si>
  <si>
    <t>Alleen van toepassing op gevarenklasse 1 bij luchtvervoer. Het netto gewicht van alle afgewerkte artikelen in alle verpakkingen.</t>
  </si>
  <si>
    <r>
      <t xml:space="preserve">Het gewicht van het artikel of stof per verpakking </t>
    </r>
    <r>
      <rPr>
        <i/>
        <sz val="10"/>
        <rFont val="Arial"/>
        <family val="2"/>
      </rPr>
      <t>zonder</t>
    </r>
    <r>
      <rPr>
        <sz val="10"/>
        <rFont val="Arial"/>
        <family val="2"/>
      </rPr>
      <t xml:space="preserve"> het gewicht van de binnen- en buitenverpakking.</t>
    </r>
  </si>
  <si>
    <t>Het totaale gewicht van de verpakking met inhoud in kg.</t>
  </si>
  <si>
    <t>Het totaale gewicht van alle verpakkingen met inhoud in kg.</t>
  </si>
  <si>
    <t>Toegepaste vrijstellingsregelingen: Excepted Quantities / Limited Quantities / ADR 1.1.3.6 (1000-punten regeling).</t>
  </si>
  <si>
    <t>Afmetingen verpakking in cm en gewicht in kg</t>
  </si>
  <si>
    <t>Alle overige relevante informatie van belang voor het vervoer.</t>
  </si>
  <si>
    <t>Kaliber van kogel of granaat in mm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</si>
  <si>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</si>
  <si>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</si>
  <si>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</si>
  <si>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</si>
  <si>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</si>
  <si>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</si>
  <si>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</si>
  <si>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</si>
  <si>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</si>
  <si>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</si>
  <si>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</si>
  <si>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</si>
  <si>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</si>
  <si>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</si>
  <si>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</si>
  <si>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</si>
  <si>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</si>
  <si>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</si>
  <si>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</si>
  <si>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</si>
  <si>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</si>
  <si>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</si>
  <si>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</si>
  <si>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</si>
  <si>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</si>
  <si>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</si>
  <si>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</si>
  <si>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</si>
  <si>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</si>
  <si>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</si>
  <si>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</si>
  <si>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</si>
  <si>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</si>
  <si>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</si>
  <si>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</si>
  <si>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</si>
  <si>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</si>
  <si>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</si>
  <si>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</si>
  <si>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</si>
  <si>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</si>
  <si>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</si>
  <si>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</si>
  <si>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</si>
  <si>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</si>
  <si>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</si>
  <si>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</si>
  <si>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</si>
  <si>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</si>
  <si>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</si>
  <si>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</si>
  <si>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</si>
  <si>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</si>
  <si>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</si>
  <si>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</si>
  <si>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</si>
  <si>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</si>
  <si>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</si>
  <si>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</si>
  <si>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</si>
  <si>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</si>
  <si>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</si>
  <si>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</si>
  <si>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</si>
  <si>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</si>
  <si>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</si>
  <si>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</si>
  <si>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</si>
  <si>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</si>
  <si>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</si>
  <si>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</si>
  <si>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</si>
  <si>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</si>
  <si>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</si>
  <si>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</si>
  <si>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</si>
  <si>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</si>
  <si>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</si>
  <si>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</si>
  <si>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</si>
  <si>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</si>
  <si>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</si>
  <si>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</si>
  <si>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</si>
  <si>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</si>
  <si>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Het bestand is beveiligd. U kunt kolommen naar wens verbergen</t>
  </si>
  <si>
    <t xml:space="preserve">This file is locked. You are able to hide columns if you wish. </t>
  </si>
  <si>
    <r>
      <t xml:space="preserve">Het document is beveiligd. Middels Hide / Unhide dient u </t>
    </r>
    <r>
      <rPr>
        <b/>
        <u/>
        <sz val="10"/>
        <rFont val="Arial"/>
        <family val="2"/>
      </rPr>
      <t>lege</t>
    </r>
    <r>
      <rPr>
        <b/>
        <sz val="10"/>
        <rFont val="Arial"/>
        <family val="2"/>
      </rPr>
      <t xml:space="preserve"> regels te verbergen of indien terug te halen</t>
    </r>
  </si>
  <si>
    <t xml:space="preserve">De verzender is ten alle tijden verantwoordelijk voor het juist invullen van de dit formulier </t>
  </si>
  <si>
    <t xml:space="preserve">Wijzigingen in cellen moeten worden gemarkeerd in geel </t>
  </si>
  <si>
    <t>Versiebeheer, documentnaam begint met BA code-omschrijving- versie</t>
  </si>
  <si>
    <t xml:space="preserve">Geef hier de specifieke cargo aan. Bijvoorbeeld trailer 15 KN general purpose / container 20ft/ aircraft pallet </t>
  </si>
  <si>
    <t>geef hier de aantallen aan</t>
  </si>
  <si>
    <t>lengte in CM</t>
  </si>
  <si>
    <t>Breedte in CM</t>
  </si>
  <si>
    <t>Hoogte in CM</t>
  </si>
  <si>
    <t>Gewicht in KG</t>
  </si>
  <si>
    <t>Kan de cargo gestapeld worden</t>
  </si>
  <si>
    <t>Rotable</t>
  </si>
  <si>
    <t>Is de cargo kantelbaar</t>
  </si>
  <si>
    <t>Weapons</t>
  </si>
  <si>
    <t>Bevat de cargo wapens en/of wapensystemen, indien ja ook appendix C aanleveren</t>
  </si>
  <si>
    <t>Conditioned</t>
  </si>
  <si>
    <t>Moet de cargo geconditioneerd vervoerd te worden, indien ja kolom met temperatuur invullen</t>
  </si>
  <si>
    <t>Temperature</t>
  </si>
  <si>
    <t>Dangerous goods</t>
  </si>
  <si>
    <t>Ammunition</t>
  </si>
  <si>
    <t>Geef hier aan of de cargo munitie bevat</t>
  </si>
  <si>
    <t>TBB catogory</t>
  </si>
  <si>
    <t>Geef hier de TBB classificatie aan</t>
  </si>
  <si>
    <t>Invul instructies D</t>
  </si>
  <si>
    <t>Alle cargo met een UN-code is DG en derhalve MOET appendix D ingevuld worden. Ook indien de DG formulieren zoals MMDGF/DGD niet vereist zijn</t>
  </si>
  <si>
    <t>DVVO heeft een helpdesk gevaarlijke stoffen. Voor meer informatie bezoek: https://doscoportal.mindef.nl/sites/0100/051/SitePages/Helpdesk-VGS.aspx</t>
  </si>
  <si>
    <t>Invulinstructies D per regel</t>
  </si>
  <si>
    <r>
      <t xml:space="preserve">Het type verpakking (kist, doos, vat, ton, jerrycan, zak). In geval van een UN gekeurde verpakking mag als </t>
    </r>
    <r>
      <rPr>
        <b/>
        <sz val="10"/>
        <rFont val="Arial"/>
        <family val="2"/>
      </rPr>
      <t>aanvulling</t>
    </r>
    <r>
      <rPr>
        <sz val="10"/>
        <rFont val="Arial"/>
        <family val="2"/>
      </rPr>
      <t xml:space="preserve"> het keurings kenmerk vermeld worden (bijvoorbeeld: 4A, 4G, 1A2, 2C1, 3A1, 5H1, enz.).</t>
    </r>
  </si>
  <si>
    <t>Net explosive mass per item</t>
  </si>
  <si>
    <t>Net mass per finished item</t>
  </si>
  <si>
    <t>Het gewicht van het artikel of stof per verpakking zonder het gewicht van de binnen- en buitenverpakking.</t>
  </si>
  <si>
    <t>Dimensions package l/w/h in cm</t>
  </si>
  <si>
    <t>Het document bevat formules. Na het knippen en plakken dient de werking van deze formules gecontroleerd te worden.</t>
  </si>
  <si>
    <t xml:space="preserve">In het laatste tabblad is een overzicht opgenomen van veelvuldig vervoerd materieel  </t>
  </si>
  <si>
    <t>Indien het document niet correct of onvolledig is ingevuld wordt de aanvraag niet in behandeling genomen.</t>
  </si>
  <si>
    <t>Invulinstructies A1 per kolom</t>
  </si>
  <si>
    <t>Type</t>
  </si>
  <si>
    <t>Specifications</t>
  </si>
  <si>
    <t>geef hier de specificaties/ inhoud/ bijzonderheden aan</t>
  </si>
  <si>
    <t xml:space="preserve">Quantity </t>
  </si>
  <si>
    <t>Registration</t>
  </si>
  <si>
    <t>geef hier het registratie nr aan. Bijvoorbeeld kenteken/ KLAU nr/laatste 8 cijfers van SSCC-nr</t>
  </si>
  <si>
    <t>Length</t>
  </si>
  <si>
    <t>Width</t>
  </si>
  <si>
    <t>Heigth</t>
  </si>
  <si>
    <t>Height</t>
  </si>
  <si>
    <t xml:space="preserve">Geef hier de minimum en maximum temperatuur aan </t>
  </si>
  <si>
    <r>
      <t>Bevat de cargo gevaarlijke stoffen, indien ja vul appendix D in.</t>
    </r>
    <r>
      <rPr>
        <b/>
        <sz val="10"/>
        <rFont val="Arial"/>
        <family val="2"/>
      </rPr>
      <t xml:space="preserve"> let op alle cargo met een UN-code is DG en derhalve MOET de appendix D ingevuld worden. Ook indien de DG formulieren zoals MMDGF/DGD niet vereist zijn</t>
    </r>
  </si>
  <si>
    <t>Alleen in te vullen indien van toepassing. Het bijkomend gevaar is mede van invloed op de samenlading.</t>
  </si>
  <si>
    <t>Alleen in te vullen indien van toepassing. De verpakkingsgroep (PG) moet verplicht ingevuld worden bij vervoer van gevaarlijke stoffen (behalve bij stoffen uit de klasse 1, 2 en 7).</t>
  </si>
  <si>
    <t>Alleen van toepassing op gevarenklasse 1/ explosieve stoffen/ munitie. Het totaalgewicht in kg van de explosieve inhoud van het artikel, de NEQ (bv per kogel).</t>
  </si>
  <si>
    <t>Alleen van toepassing op gevarenklasse 1 / explosieve stoffen/ munitie. Het totaalgewicht in kg van de explosieve inhoud, de NEQ van alle artikelen in de verpakking.</t>
  </si>
  <si>
    <t>Alleen van toepassing op gevarenklasse 1/ explosieve stoffen/ munitie. Het totaalgewicht in kg van de explosieve inhoud, de NEQ van alle artikelen in alle verpakkingen.</t>
  </si>
  <si>
    <t>Alleen van toepassing op gevarenklasse 1/ explosieve stoffen/ munitie bij luchtvervoer. Het netto gewicht per afgewerkt artikel (bv per kogel).</t>
  </si>
  <si>
    <t>Alleen van toepassing op gevarenklasse 1/ explosieve stoffen/ munitie bij luchtvervoer. Het netto gewicht van alle afgewerkte artikelen per verpakking.</t>
  </si>
  <si>
    <t>Alleen van toepassing op gevarenklasse 1/ explosieve stoffen/ munitie bij luchtvervoer. Het netto gewicht van alle afgewerkte artikelen in alle verpakkingen.</t>
  </si>
  <si>
    <r>
      <t xml:space="preserve">Afmetingen verpakking (uit regel 8) in cm lengte/breedte/hoogte. </t>
    </r>
    <r>
      <rPr>
        <b/>
        <sz val="10"/>
        <color theme="1"/>
        <rFont val="Arial"/>
        <family val="2"/>
      </rPr>
      <t>Dit kan dus nooit de overpackafmetingen zijn</t>
    </r>
  </si>
  <si>
    <t>Invulinstructies</t>
  </si>
  <si>
    <r>
      <t>Lees zorgvuldig de opmerkingen die bij de diverse cellen staan (</t>
    </r>
    <r>
      <rPr>
        <b/>
        <sz val="10"/>
        <rFont val="Arial"/>
        <family val="2"/>
      </rPr>
      <t>rechts boven in de hoek van de cel</t>
    </r>
    <r>
      <rPr>
        <sz val="10"/>
        <rFont val="Arial"/>
        <family val="2"/>
      </rPr>
      <t>)</t>
    </r>
  </si>
  <si>
    <t>Algemeen</t>
  </si>
  <si>
    <t>Geef hier het soort cargo aan. Bijvoorbeeld trailer/ container/ pallet</t>
  </si>
  <si>
    <t>Is de cargo beladen. Zo ja geef de lading op bij specifications en tel het gewicht van de belading bij de cargo op. Bijvoorbeeld voertuiguitrusting/ PGU in een voertuig/ inhoud van een container. Bij luchtvervoer mag een voertuig nooit beladen zijn</t>
  </si>
  <si>
    <t>Bevat de cargo items die onder ITAR regels vallen geef dat hier aan. Voor meer informatie neem contact op met uw Export Control functionaris. https://doscoportal.mindef.nl/sites/0500/013/SitePages/Introductiepagina.aspx</t>
  </si>
  <si>
    <t>Geef hier aan of de cargo TBB bevat. Voor meer informatie neem contact op met uw beveiligingsfunctionaris</t>
  </si>
  <si>
    <r>
      <t xml:space="preserve">Het totale gewicht van de verpakking met inhoud in kg. </t>
    </r>
    <r>
      <rPr>
        <b/>
        <sz val="10"/>
        <rFont val="Arial"/>
        <family val="2"/>
      </rPr>
      <t>Dit kan dus nooit hetzelde zijn als regel 17</t>
    </r>
  </si>
  <si>
    <r>
      <t>Het totale gewicht van alle verpakkingen met inhoud in kg.</t>
    </r>
    <r>
      <rPr>
        <b/>
        <sz val="10"/>
        <rFont val="Arial"/>
        <family val="2"/>
      </rPr>
      <t xml:space="preserve"> Dit kan dus nooit hetzelde zijn als regel 17</t>
    </r>
  </si>
  <si>
    <t xml:space="preserve">Let op! U bent er zelf verantwoordelijk voor het feit dat de juiste maten en gewichten vermeld worden. De onderstaande tabel is afkomstig uit SAP en tussentijdse </t>
  </si>
  <si>
    <t>Unipack</t>
  </si>
  <si>
    <t>Y</t>
  </si>
  <si>
    <t>N</t>
  </si>
  <si>
    <t>Wezep (NLD) - Litouwen</t>
  </si>
  <si>
    <t>Construction materials</t>
  </si>
  <si>
    <t>Bundel</t>
  </si>
  <si>
    <t>901-26: 1</t>
  </si>
  <si>
    <t>901-26: 2</t>
  </si>
  <si>
    <t>901-26: 3</t>
  </si>
  <si>
    <t>901-26: 4</t>
  </si>
  <si>
    <t>901-26: 5</t>
  </si>
  <si>
    <t>901-26: 6</t>
  </si>
  <si>
    <t>Steel beams</t>
  </si>
  <si>
    <t>901-26: 7</t>
  </si>
  <si>
    <t>901-26: 8</t>
  </si>
  <si>
    <t>Stack of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</si>
</sst>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Arial"/>
      <family val="2"/>
    </font>
    <font>
      <b/>
      <sz val="12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sz val="14"/>
      <name val="Arial"/>
      <family val="2"/>
    </font>
    <font>
      <vertAlign val="superscript"/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 applyFill="0"/>
    <xf numFmtId="0" fontId="16" fillId="0" borderId="0" applyNumberFormat="0" applyFill="0" applyBorder="0" applyAlignment="0" applyProtection="0"/>
    <xf numFmtId="0" fontId="1" fillId="0" borderId="0" applyFill="0"/>
    <xf numFmtId="0" fontId="1" fillId="0" borderId="0"/>
  </cellStyleXfs>
  <cellXfs count="259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vertical="top"/>
    </xf>
    <xf numFmtId="0" fontId="0" fillId="0" borderId="0" xfId="0" applyBorder="1" applyAlignment="1"/>
    <xf numFmtId="0" fontId="0" fillId="0" borderId="8" xfId="0" applyFill="1" applyBorder="1"/>
    <xf numFmtId="0" fontId="0" fillId="0" borderId="1" xfId="0" applyFill="1" applyBorder="1"/>
    <xf numFmtId="0" fontId="0" fillId="0" borderId="8" xfId="0" applyBorder="1"/>
    <xf numFmtId="0" fontId="1" fillId="4" borderId="1" xfId="0" applyFont="1" applyFill="1" applyBorder="1"/>
    <xf numFmtId="0" fontId="1" fillId="0" borderId="0" xfId="0" applyFont="1"/>
    <xf numFmtId="0" fontId="1" fillId="4" borderId="9" xfId="0" applyFont="1" applyFill="1" applyBorder="1"/>
    <xf numFmtId="0" fontId="0" fillId="4" borderId="9" xfId="0" applyFill="1" applyBorder="1"/>
    <xf numFmtId="0" fontId="0" fillId="0" borderId="10" xfId="0" applyFill="1" applyBorder="1"/>
    <xf numFmtId="0" fontId="0" fillId="0" borderId="10" xfId="0" applyBorder="1"/>
    <xf numFmtId="0" fontId="0" fillId="0" borderId="14" xfId="0" applyFill="1" applyBorder="1"/>
    <xf numFmtId="0" fontId="0" fillId="0" borderId="15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5" fillId="0" borderId="0" xfId="0" applyFont="1"/>
    <xf numFmtId="0" fontId="10" fillId="0" borderId="0" xfId="0" applyFont="1"/>
    <xf numFmtId="0" fontId="0" fillId="0" borderId="0" xfId="0" applyFill="1"/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1" fillId="0" borderId="0" xfId="0" applyFont="1" applyFill="1"/>
    <xf numFmtId="0" fontId="16" fillId="0" borderId="19" xfId="1" applyFont="1" applyFill="1" applyBorder="1" applyAlignment="1" applyProtection="1">
      <alignment vertical="center"/>
    </xf>
    <xf numFmtId="0" fontId="10" fillId="0" borderId="13" xfId="1" applyFont="1" applyFill="1" applyBorder="1" applyAlignment="1" applyProtection="1">
      <alignment horizontal="right" vertical="center"/>
    </xf>
    <xf numFmtId="0" fontId="1" fillId="0" borderId="7" xfId="1" applyFont="1" applyFill="1" applyBorder="1" applyAlignment="1" applyProtection="1">
      <alignment horizontal="left" vertical="center"/>
      <protection locked="0"/>
    </xf>
    <xf numFmtId="0" fontId="10" fillId="0" borderId="0" xfId="1" applyFont="1" applyFill="1" applyBorder="1" applyAlignment="1" applyProtection="1">
      <alignment horizontal="left" vertical="center"/>
    </xf>
    <xf numFmtId="0" fontId="16" fillId="0" borderId="0" xfId="1" applyBorder="1" applyAlignment="1" applyProtection="1">
      <alignment vertical="center"/>
    </xf>
    <xf numFmtId="0" fontId="16" fillId="0" borderId="0" xfId="1" applyFont="1" applyFill="1" applyBorder="1" applyAlignment="1" applyProtection="1">
      <alignment horizontal="center" vertical="center"/>
    </xf>
    <xf numFmtId="0" fontId="16" fillId="0" borderId="0" xfId="1" applyFont="1" applyFill="1" applyAlignment="1" applyProtection="1">
      <alignment horizontal="center" vertical="center"/>
    </xf>
    <xf numFmtId="0" fontId="16" fillId="0" borderId="0" xfId="1" applyFont="1" applyFill="1" applyAlignment="1" applyProtection="1">
      <alignment vertical="center"/>
    </xf>
    <xf numFmtId="0" fontId="1" fillId="0" borderId="0" xfId="1" applyFont="1" applyFill="1" applyAlignment="1" applyProtection="1">
      <alignment vertical="center"/>
    </xf>
    <xf numFmtId="0" fontId="4" fillId="0" borderId="7" xfId="1" applyFont="1" applyFill="1" applyBorder="1" applyAlignment="1" applyProtection="1">
      <alignment horizontal="left" vertical="center"/>
      <protection locked="0"/>
    </xf>
    <xf numFmtId="0" fontId="16" fillId="0" borderId="0" xfId="1" applyFont="1" applyFill="1" applyBorder="1" applyAlignment="1" applyProtection="1">
      <alignment vertical="center"/>
    </xf>
    <xf numFmtId="0" fontId="10" fillId="0" borderId="20" xfId="1" applyFont="1" applyFill="1" applyBorder="1" applyAlignment="1" applyProtection="1">
      <alignment horizontal="left" vertical="center"/>
      <protection locked="0"/>
    </xf>
    <xf numFmtId="0" fontId="10" fillId="0" borderId="20" xfId="1" applyFont="1" applyFill="1" applyBorder="1" applyAlignment="1" applyProtection="1">
      <alignment vertical="center"/>
      <protection locked="0"/>
    </xf>
    <xf numFmtId="49" fontId="11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1" applyFont="1" applyFill="1" applyBorder="1" applyAlignment="1" applyProtection="1">
      <alignment horizontal="center" vertical="center" wrapText="1"/>
      <protection locked="0"/>
    </xf>
    <xf numFmtId="0" fontId="11" fillId="0" borderId="1" xfId="1" applyFont="1" applyFill="1" applyBorder="1" applyAlignment="1" applyProtection="1">
      <alignment horizontal="left" vertical="center" wrapText="1"/>
      <protection locked="0"/>
    </xf>
    <xf numFmtId="0" fontId="2" fillId="0" borderId="0" xfId="0" applyFont="1" applyProtection="1"/>
    <xf numFmtId="0" fontId="0" fillId="0" borderId="0" xfId="0" applyAlignment="1" applyProtection="1">
      <alignment horizontal="center"/>
    </xf>
    <xf numFmtId="0" fontId="8" fillId="0" borderId="0" xfId="0" applyFont="1" applyAlignment="1" applyProtection="1">
      <alignment horizontal="left"/>
    </xf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1" fillId="0" borderId="6" xfId="0" applyFont="1" applyBorder="1" applyAlignment="1" applyProtection="1">
      <alignment horizontal="left"/>
    </xf>
    <xf numFmtId="0" fontId="11" fillId="0" borderId="5" xfId="0" applyFont="1" applyBorder="1" applyAlignment="1" applyProtection="1">
      <alignment horizontal="left"/>
    </xf>
    <xf numFmtId="0" fontId="0" fillId="0" borderId="3" xfId="0" applyBorder="1" applyAlignment="1" applyProtection="1"/>
    <xf numFmtId="0" fontId="1" fillId="3" borderId="1" xfId="0" applyFont="1" applyFill="1" applyBorder="1" applyAlignment="1" applyProtection="1">
      <alignment horizontal="center" textRotation="90" wrapText="1"/>
    </xf>
    <xf numFmtId="0" fontId="0" fillId="2" borderId="1" xfId="0" applyFill="1" applyBorder="1" applyAlignment="1" applyProtection="1">
      <alignment horizontal="center" textRotation="90" wrapText="1"/>
    </xf>
    <xf numFmtId="0" fontId="6" fillId="2" borderId="1" xfId="0" applyFont="1" applyFill="1" applyBorder="1" applyAlignment="1" applyProtection="1">
      <alignment horizontal="center" textRotation="90" wrapText="1"/>
    </xf>
    <xf numFmtId="0" fontId="4" fillId="2" borderId="1" xfId="0" applyFont="1" applyFill="1" applyBorder="1" applyAlignment="1" applyProtection="1">
      <alignment horizontal="center" textRotation="90" wrapText="1"/>
    </xf>
    <xf numFmtId="0" fontId="0" fillId="2" borderId="1" xfId="0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1" fillId="3" borderId="1" xfId="0" applyFont="1" applyFill="1" applyBorder="1" applyAlignment="1" applyProtection="1">
      <alignment horizontal="center"/>
    </xf>
    <xf numFmtId="0" fontId="6" fillId="2" borderId="1" xfId="0" applyFont="1" applyFill="1" applyBorder="1" applyAlignment="1" applyProtection="1">
      <alignment horizontal="center"/>
    </xf>
    <xf numFmtId="0" fontId="0" fillId="3" borderId="1" xfId="0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right"/>
    </xf>
    <xf numFmtId="0" fontId="1" fillId="0" borderId="0" xfId="0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0" fillId="0" borderId="4" xfId="0" applyBorder="1" applyAlignment="1" applyProtection="1">
      <alignment horizontal="center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1" xfId="0" applyFill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0" borderId="1" xfId="0" applyFont="1" applyFill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0" fontId="0" fillId="0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</xf>
    <xf numFmtId="2" fontId="0" fillId="8" borderId="1" xfId="0" applyNumberFormat="1" applyFill="1" applyBorder="1" applyAlignment="1" applyProtection="1">
      <alignment horizontal="center"/>
    </xf>
    <xf numFmtId="0" fontId="3" fillId="8" borderId="2" xfId="0" applyFont="1" applyFill="1" applyBorder="1" applyAlignment="1" applyProtection="1">
      <alignment horizontal="center"/>
    </xf>
    <xf numFmtId="0" fontId="0" fillId="8" borderId="2" xfId="0" applyFill="1" applyBorder="1" applyAlignment="1" applyProtection="1">
      <alignment horizontal="center"/>
    </xf>
    <xf numFmtId="0" fontId="0" fillId="8" borderId="0" xfId="0" applyFill="1" applyAlignment="1" applyProtection="1">
      <alignment horizontal="center"/>
    </xf>
    <xf numFmtId="0" fontId="1" fillId="8" borderId="2" xfId="0" applyFont="1" applyFill="1" applyBorder="1" applyAlignment="1" applyProtection="1">
      <alignment horizontal="center"/>
    </xf>
    <xf numFmtId="0" fontId="17" fillId="0" borderId="0" xfId="1" applyFont="1" applyFill="1" applyBorder="1" applyAlignment="1" applyProtection="1">
      <alignment horizontal="right"/>
    </xf>
    <xf numFmtId="0" fontId="16" fillId="0" borderId="0" xfId="1" applyFont="1" applyFill="1" applyAlignment="1" applyProtection="1">
      <alignment horizontal="center"/>
    </xf>
    <xf numFmtId="0" fontId="16" fillId="0" borderId="0" xfId="1" applyFont="1" applyFill="1" applyBorder="1" applyAlignment="1" applyProtection="1">
      <alignment horizontal="center"/>
    </xf>
    <xf numFmtId="0" fontId="16" fillId="0" borderId="0" xfId="1" applyFont="1" applyFill="1" applyProtection="1"/>
    <xf numFmtId="0" fontId="1" fillId="0" borderId="0" xfId="1" applyFont="1" applyFill="1" applyProtection="1"/>
    <xf numFmtId="0" fontId="3" fillId="0" borderId="0" xfId="1" applyFont="1" applyFill="1" applyBorder="1" applyAlignment="1" applyProtection="1">
      <alignment vertical="center"/>
    </xf>
    <xf numFmtId="0" fontId="11" fillId="0" borderId="0" xfId="1" applyFont="1" applyFill="1" applyAlignment="1" applyProtection="1">
      <alignment horizontal="left" vertical="center"/>
    </xf>
    <xf numFmtId="0" fontId="11" fillId="0" borderId="1" xfId="1" applyFont="1" applyFill="1" applyBorder="1" applyAlignment="1" applyProtection="1">
      <alignment horizontal="center" vertical="center"/>
    </xf>
    <xf numFmtId="0" fontId="11" fillId="2" borderId="1" xfId="1" applyFont="1" applyFill="1" applyBorder="1" applyAlignment="1" applyProtection="1">
      <alignment horizontal="center" vertical="center" wrapText="1"/>
    </xf>
    <xf numFmtId="0" fontId="18" fillId="2" borderId="8" xfId="1" applyFont="1" applyFill="1" applyBorder="1" applyAlignment="1" applyProtection="1">
      <alignment horizontal="left" vertical="center"/>
    </xf>
    <xf numFmtId="0" fontId="18" fillId="2" borderId="11" xfId="1" applyFont="1" applyFill="1" applyBorder="1" applyAlignment="1" applyProtection="1">
      <alignment horizontal="left" vertical="center"/>
    </xf>
    <xf numFmtId="0" fontId="16" fillId="2" borderId="11" xfId="1" applyFont="1" applyFill="1" applyBorder="1" applyAlignment="1" applyProtection="1">
      <alignment horizontal="center" vertical="center"/>
    </xf>
    <xf numFmtId="0" fontId="16" fillId="2" borderId="12" xfId="1" applyFont="1" applyFill="1" applyBorder="1" applyAlignment="1" applyProtection="1">
      <alignment horizontal="center" vertical="center"/>
    </xf>
    <xf numFmtId="0" fontId="1" fillId="7" borderId="1" xfId="1" applyFont="1" applyFill="1" applyBorder="1" applyAlignment="1" applyProtection="1">
      <alignment horizontal="center" vertical="center"/>
    </xf>
    <xf numFmtId="0" fontId="1" fillId="7" borderId="11" xfId="1" applyFont="1" applyFill="1" applyBorder="1" applyAlignment="1" applyProtection="1">
      <alignment vertical="center"/>
    </xf>
    <xf numFmtId="0" fontId="1" fillId="7" borderId="11" xfId="1" applyFont="1" applyFill="1" applyBorder="1" applyAlignment="1" applyProtection="1">
      <alignment horizontal="center" vertical="center"/>
    </xf>
    <xf numFmtId="0" fontId="1" fillId="7" borderId="12" xfId="1" applyFont="1" applyFill="1" applyBorder="1" applyAlignment="1" applyProtection="1">
      <alignment horizontal="center" vertical="center"/>
    </xf>
    <xf numFmtId="0" fontId="1" fillId="0" borderId="0" xfId="1" applyFont="1" applyFill="1" applyBorder="1" applyAlignment="1" applyProtection="1">
      <alignment vertical="center"/>
    </xf>
    <xf numFmtId="0" fontId="1" fillId="0" borderId="0" xfId="1" applyFont="1" applyFill="1" applyBorder="1" applyAlignment="1" applyProtection="1">
      <alignment horizontal="center" vertical="center"/>
    </xf>
    <xf numFmtId="0" fontId="1" fillId="2" borderId="1" xfId="1" applyFont="1" applyFill="1" applyBorder="1" applyAlignment="1" applyProtection="1">
      <alignment horizontal="center" vertical="center"/>
    </xf>
    <xf numFmtId="0" fontId="1" fillId="2" borderId="11" xfId="1" applyFont="1" applyFill="1" applyBorder="1" applyAlignment="1" applyProtection="1">
      <alignment vertical="center"/>
    </xf>
    <xf numFmtId="0" fontId="1" fillId="2" borderId="11" xfId="1" applyFont="1" applyFill="1" applyBorder="1" applyAlignment="1" applyProtection="1">
      <alignment horizontal="center" vertical="center"/>
    </xf>
    <xf numFmtId="0" fontId="1" fillId="2" borderId="12" xfId="1" applyFont="1" applyFill="1" applyBorder="1" applyAlignment="1" applyProtection="1">
      <alignment horizontal="center" vertical="center"/>
    </xf>
    <xf numFmtId="0" fontId="1" fillId="3" borderId="1" xfId="1" applyFont="1" applyFill="1" applyBorder="1" applyAlignment="1" applyProtection="1">
      <alignment horizontal="center" vertical="center"/>
    </xf>
    <xf numFmtId="0" fontId="1" fillId="3" borderId="11" xfId="1" applyFont="1" applyFill="1" applyBorder="1" applyAlignment="1" applyProtection="1">
      <alignment vertical="center"/>
    </xf>
    <xf numFmtId="0" fontId="1" fillId="3" borderId="11" xfId="1" applyFont="1" applyFill="1" applyBorder="1" applyAlignment="1" applyProtection="1">
      <alignment horizontal="center" vertical="center"/>
    </xf>
    <xf numFmtId="0" fontId="1" fillId="3" borderId="12" xfId="1" applyFont="1" applyFill="1" applyBorder="1" applyAlignment="1" applyProtection="1">
      <alignment horizontal="center" vertical="center"/>
    </xf>
    <xf numFmtId="0" fontId="1" fillId="6" borderId="1" xfId="1" applyFont="1" applyFill="1" applyBorder="1" applyAlignment="1" applyProtection="1">
      <alignment horizontal="center" vertical="center"/>
    </xf>
    <xf numFmtId="0" fontId="1" fillId="6" borderId="11" xfId="1" applyFont="1" applyFill="1" applyBorder="1" applyAlignment="1" applyProtection="1">
      <alignment vertical="center"/>
    </xf>
    <xf numFmtId="0" fontId="1" fillId="6" borderId="11" xfId="1" applyFont="1" applyFill="1" applyBorder="1" applyAlignment="1" applyProtection="1">
      <alignment horizontal="center" vertical="center"/>
    </xf>
    <xf numFmtId="0" fontId="1" fillId="6" borderId="12" xfId="1" applyFont="1" applyFill="1" applyBorder="1" applyAlignment="1" applyProtection="1">
      <alignment horizontal="center" vertical="center"/>
    </xf>
    <xf numFmtId="0" fontId="1" fillId="0" borderId="22" xfId="1" applyFont="1" applyFill="1" applyBorder="1" applyAlignment="1" applyProtection="1">
      <alignment horizontal="left" vertical="center"/>
    </xf>
    <xf numFmtId="0" fontId="1" fillId="3" borderId="11" xfId="1" applyFont="1" applyFill="1" applyBorder="1" applyAlignment="1" applyProtection="1">
      <alignment horizontal="left" vertical="center"/>
    </xf>
    <xf numFmtId="0" fontId="1" fillId="6" borderId="11" xfId="1" applyFont="1" applyFill="1" applyBorder="1" applyAlignment="1" applyProtection="1">
      <alignment horizontal="left" vertical="center"/>
    </xf>
    <xf numFmtId="0" fontId="5" fillId="0" borderId="0" xfId="1" applyFont="1" applyFill="1" applyProtection="1"/>
    <xf numFmtId="0" fontId="1" fillId="2" borderId="11" xfId="1" applyFont="1" applyFill="1" applyBorder="1" applyAlignment="1" applyProtection="1">
      <alignment horizontal="left" vertical="center"/>
    </xf>
    <xf numFmtId="0" fontId="1" fillId="0" borderId="3" xfId="1" applyFont="1" applyFill="1" applyBorder="1" applyAlignment="1" applyProtection="1">
      <alignment horizontal="left" vertical="center"/>
    </xf>
    <xf numFmtId="0" fontId="1" fillId="0" borderId="3" xfId="1" applyFont="1" applyFill="1" applyBorder="1" applyAlignment="1" applyProtection="1">
      <alignment vertical="center"/>
    </xf>
    <xf numFmtId="0" fontId="1" fillId="0" borderId="3" xfId="1" applyFont="1" applyFill="1" applyBorder="1" applyAlignment="1" applyProtection="1">
      <alignment horizontal="center" vertical="center"/>
    </xf>
    <xf numFmtId="0" fontId="1" fillId="0" borderId="23" xfId="1" applyFont="1" applyFill="1" applyBorder="1" applyAlignment="1" applyProtection="1">
      <alignment horizontal="center" vertical="center"/>
    </xf>
    <xf numFmtId="0" fontId="4" fillId="2" borderId="8" xfId="1" applyFont="1" applyFill="1" applyBorder="1" applyAlignment="1" applyProtection="1">
      <alignment horizontal="left" vertical="center"/>
    </xf>
    <xf numFmtId="0" fontId="5" fillId="2" borderId="11" xfId="1" applyFont="1" applyFill="1" applyBorder="1" applyAlignment="1" applyProtection="1">
      <alignment horizontal="center"/>
    </xf>
    <xf numFmtId="0" fontId="5" fillId="2" borderId="12" xfId="1" applyFont="1" applyFill="1" applyBorder="1" applyAlignment="1" applyProtection="1">
      <alignment horizontal="center"/>
    </xf>
    <xf numFmtId="0" fontId="5" fillId="0" borderId="22" xfId="1" applyFont="1" applyFill="1" applyBorder="1" applyAlignment="1" applyProtection="1">
      <alignment horizontal="center"/>
    </xf>
    <xf numFmtId="0" fontId="5" fillId="0" borderId="0" xfId="1" applyFont="1" applyFill="1" applyBorder="1" applyAlignment="1" applyProtection="1">
      <alignment horizontal="center"/>
    </xf>
    <xf numFmtId="0" fontId="5" fillId="0" borderId="0" xfId="1" applyFont="1" applyFill="1" applyBorder="1" applyProtection="1"/>
    <xf numFmtId="0" fontId="1" fillId="6" borderId="0" xfId="1" applyFont="1" applyFill="1" applyBorder="1" applyAlignment="1" applyProtection="1">
      <alignment vertical="center"/>
    </xf>
    <xf numFmtId="0" fontId="5" fillId="6" borderId="0" xfId="1" applyFont="1" applyFill="1" applyBorder="1" applyAlignment="1" applyProtection="1">
      <alignment horizontal="center"/>
    </xf>
    <xf numFmtId="0" fontId="5" fillId="6" borderId="24" xfId="1" applyFont="1" applyFill="1" applyBorder="1" applyAlignment="1" applyProtection="1">
      <alignment horizontal="center"/>
    </xf>
    <xf numFmtId="0" fontId="16" fillId="2" borderId="11" xfId="1" applyFont="1" applyFill="1" applyBorder="1" applyAlignment="1" applyProtection="1">
      <alignment horizontal="center"/>
    </xf>
    <xf numFmtId="0" fontId="16" fillId="2" borderId="12" xfId="1" applyFont="1" applyFill="1" applyBorder="1" applyAlignment="1" applyProtection="1">
      <alignment horizontal="center"/>
    </xf>
    <xf numFmtId="0" fontId="16" fillId="0" borderId="22" xfId="1" applyFont="1" applyFill="1" applyBorder="1" applyAlignment="1" applyProtection="1">
      <alignment horizontal="center"/>
    </xf>
    <xf numFmtId="0" fontId="16" fillId="0" borderId="0" xfId="1" applyFont="1" applyFill="1" applyBorder="1" applyProtection="1"/>
    <xf numFmtId="0" fontId="1" fillId="6" borderId="3" xfId="1" applyFont="1" applyFill="1" applyBorder="1" applyAlignment="1" applyProtection="1">
      <alignment vertical="center"/>
    </xf>
    <xf numFmtId="0" fontId="16" fillId="6" borderId="0" xfId="1" applyFont="1" applyFill="1" applyBorder="1" applyAlignment="1" applyProtection="1">
      <alignment horizontal="center"/>
    </xf>
    <xf numFmtId="0" fontId="16" fillId="6" borderId="24" xfId="1" applyFont="1" applyFill="1" applyBorder="1" applyAlignment="1" applyProtection="1">
      <alignment horizontal="center"/>
    </xf>
    <xf numFmtId="0" fontId="1" fillId="6" borderId="25" xfId="1" applyFont="1" applyFill="1" applyBorder="1" applyAlignment="1" applyProtection="1">
      <alignment vertical="center"/>
    </xf>
    <xf numFmtId="0" fontId="1" fillId="3" borderId="8" xfId="1" applyFont="1" applyFill="1" applyBorder="1" applyAlignment="1" applyProtection="1">
      <alignment vertical="center"/>
    </xf>
    <xf numFmtId="0" fontId="16" fillId="3" borderId="11" xfId="1" applyFont="1" applyFill="1" applyBorder="1" applyAlignment="1" applyProtection="1">
      <alignment horizontal="center"/>
    </xf>
    <xf numFmtId="0" fontId="16" fillId="3" borderId="12" xfId="1" applyFont="1" applyFill="1" applyBorder="1" applyAlignment="1" applyProtection="1">
      <alignment horizontal="center"/>
    </xf>
    <xf numFmtId="0" fontId="16" fillId="6" borderId="11" xfId="1" applyFont="1" applyFill="1" applyBorder="1" applyAlignment="1" applyProtection="1">
      <alignment horizontal="center"/>
    </xf>
    <xf numFmtId="0" fontId="16" fillId="6" borderId="12" xfId="1" applyFont="1" applyFill="1" applyBorder="1" applyAlignment="1" applyProtection="1">
      <alignment horizontal="center"/>
    </xf>
    <xf numFmtId="0" fontId="1" fillId="3" borderId="0" xfId="1" applyFont="1" applyFill="1" applyBorder="1" applyAlignment="1" applyProtection="1">
      <alignment vertical="center"/>
    </xf>
    <xf numFmtId="0" fontId="16" fillId="3" borderId="0" xfId="1" applyFont="1" applyFill="1" applyBorder="1" applyAlignment="1" applyProtection="1">
      <alignment horizontal="center"/>
    </xf>
    <xf numFmtId="0" fontId="16" fillId="3" borderId="24" xfId="1" applyFont="1" applyFill="1" applyBorder="1" applyAlignment="1" applyProtection="1">
      <alignment horizontal="center"/>
    </xf>
    <xf numFmtId="0" fontId="1" fillId="3" borderId="0" xfId="1" applyFont="1" applyFill="1" applyBorder="1" applyAlignment="1" applyProtection="1">
      <alignment horizontal="left" vertical="center"/>
    </xf>
    <xf numFmtId="0" fontId="1" fillId="3" borderId="3" xfId="1" applyFont="1" applyFill="1" applyBorder="1" applyAlignment="1" applyProtection="1">
      <alignment vertical="center"/>
    </xf>
    <xf numFmtId="0" fontId="1" fillId="3" borderId="25" xfId="1" applyFont="1" applyFill="1" applyBorder="1" applyAlignment="1" applyProtection="1">
      <alignment vertical="center"/>
    </xf>
    <xf numFmtId="0" fontId="16" fillId="0" borderId="1" xfId="1" applyFont="1" applyFill="1" applyBorder="1" applyAlignment="1" applyProtection="1">
      <alignment horizontal="center"/>
    </xf>
    <xf numFmtId="0" fontId="1" fillId="0" borderId="0" xfId="1" applyFont="1" applyFill="1" applyAlignment="1" applyProtection="1">
      <alignment horizontal="center"/>
    </xf>
    <xf numFmtId="0" fontId="10" fillId="0" borderId="20" xfId="1" applyFont="1" applyFill="1" applyBorder="1" applyAlignment="1" applyProtection="1">
      <alignment horizontal="center" vertical="center"/>
      <protection locked="0"/>
    </xf>
    <xf numFmtId="0" fontId="11" fillId="0" borderId="20" xfId="1" applyFont="1" applyFill="1" applyBorder="1" applyAlignment="1" applyProtection="1">
      <alignment vertical="center"/>
      <protection locked="0"/>
    </xf>
    <xf numFmtId="0" fontId="11" fillId="0" borderId="21" xfId="1" applyFont="1" applyFill="1" applyBorder="1" applyAlignment="1" applyProtection="1">
      <alignment vertical="center"/>
      <protection locked="0"/>
    </xf>
    <xf numFmtId="0" fontId="11" fillId="0" borderId="0" xfId="1" applyFont="1" applyFill="1" applyAlignment="1" applyProtection="1">
      <alignment vertical="center"/>
      <protection locked="0"/>
    </xf>
    <xf numFmtId="0" fontId="11" fillId="0" borderId="10" xfId="1" applyFont="1" applyFill="1" applyBorder="1" applyAlignment="1" applyProtection="1">
      <alignment horizontal="center" vertical="center"/>
      <protection locked="0"/>
    </xf>
    <xf numFmtId="0" fontId="11" fillId="0" borderId="0" xfId="1" applyFont="1" applyFill="1" applyAlignment="1" applyProtection="1">
      <alignment horizontal="left" vertical="center"/>
      <protection locked="0"/>
    </xf>
    <xf numFmtId="0" fontId="11" fillId="0" borderId="1" xfId="1" applyFont="1" applyFill="1" applyBorder="1" applyAlignment="1" applyProtection="1">
      <alignment horizontal="center" vertical="center"/>
      <protection locked="0"/>
    </xf>
    <xf numFmtId="0" fontId="11" fillId="6" borderId="8" xfId="1" applyFont="1" applyFill="1" applyBorder="1" applyAlignment="1" applyProtection="1">
      <alignment horizontal="left" vertical="center"/>
      <protection locked="0"/>
    </xf>
    <xf numFmtId="0" fontId="11" fillId="6" borderId="12" xfId="1" applyFont="1" applyFill="1" applyBorder="1" applyAlignment="1" applyProtection="1">
      <alignment horizontal="left" vertical="center"/>
      <protection locked="0"/>
    </xf>
    <xf numFmtId="0" fontId="11" fillId="0" borderId="0" xfId="1" applyFont="1" applyFill="1" applyAlignment="1" applyProtection="1">
      <alignment horizontal="left" vertical="top"/>
      <protection locked="0"/>
    </xf>
    <xf numFmtId="0" fontId="11" fillId="0" borderId="8" xfId="1" applyFont="1" applyFill="1" applyBorder="1" applyAlignment="1" applyProtection="1">
      <alignment horizontal="left" vertical="center"/>
      <protection locked="0"/>
    </xf>
    <xf numFmtId="0" fontId="11" fillId="0" borderId="12" xfId="1" applyFont="1" applyFill="1" applyBorder="1" applyAlignment="1" applyProtection="1">
      <alignment horizontal="left" vertical="center"/>
      <protection locked="0"/>
    </xf>
    <xf numFmtId="0" fontId="1" fillId="0" borderId="0" xfId="1" applyFont="1" applyFill="1" applyAlignment="1" applyProtection="1">
      <alignment vertical="center"/>
      <protection locked="0"/>
    </xf>
    <xf numFmtId="0" fontId="0" fillId="2" borderId="1" xfId="0" applyFill="1" applyBorder="1" applyAlignment="1" applyProtection="1">
      <alignment horizontal="center" textRotation="90"/>
    </xf>
    <xf numFmtId="0" fontId="0" fillId="2" borderId="1" xfId="0" applyFill="1" applyBorder="1" applyAlignment="1" applyProtection="1">
      <alignment horizontal="center" textRotation="90" wrapText="1"/>
    </xf>
    <xf numFmtId="0" fontId="10" fillId="2" borderId="10" xfId="1" applyFont="1" applyFill="1" applyBorder="1" applyAlignment="1" applyProtection="1">
      <alignment vertical="center"/>
      <protection locked="0"/>
    </xf>
    <xf numFmtId="0" fontId="10" fillId="2" borderId="22" xfId="1" applyFont="1" applyFill="1" applyBorder="1" applyAlignment="1" applyProtection="1">
      <alignment vertical="center"/>
      <protection locked="0"/>
    </xf>
    <xf numFmtId="0" fontId="10" fillId="2" borderId="23" xfId="1" applyFont="1" applyFill="1" applyBorder="1" applyAlignment="1" applyProtection="1">
      <alignment vertical="center"/>
      <protection locked="0"/>
    </xf>
    <xf numFmtId="0" fontId="10" fillId="2" borderId="10" xfId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/>
    </xf>
    <xf numFmtId="0" fontId="0" fillId="0" borderId="0" xfId="1" applyFont="1" applyFill="1" applyBorder="1" applyAlignment="1" applyProtection="1">
      <alignment horizontal="left"/>
    </xf>
    <xf numFmtId="0" fontId="4" fillId="0" borderId="0" xfId="1" applyFont="1" applyFill="1" applyBorder="1" applyAlignment="1" applyProtection="1">
      <alignment horizontal="left" vertical="center"/>
    </xf>
    <xf numFmtId="0" fontId="1" fillId="0" borderId="0" xfId="1" applyFont="1" applyFill="1" applyBorder="1" applyAlignment="1" applyProtection="1">
      <alignment horizontal="left" vertical="center"/>
    </xf>
    <xf numFmtId="0" fontId="16" fillId="0" borderId="26" xfId="1" applyFont="1" applyFill="1" applyBorder="1" applyAlignment="1" applyProtection="1">
      <alignment horizontal="center" vertical="center"/>
    </xf>
    <xf numFmtId="0" fontId="16" fillId="0" borderId="25" xfId="1" applyFont="1" applyFill="1" applyBorder="1" applyAlignment="1" applyProtection="1">
      <alignment horizontal="center" vertical="center"/>
    </xf>
    <xf numFmtId="0" fontId="1" fillId="0" borderId="22" xfId="1" applyFont="1" applyFill="1" applyBorder="1" applyAlignment="1" applyProtection="1">
      <alignment horizontal="center" vertical="center"/>
    </xf>
    <xf numFmtId="0" fontId="0" fillId="0" borderId="22" xfId="1" applyFont="1" applyFill="1" applyBorder="1" applyAlignment="1" applyProtection="1">
      <alignment horizontal="left"/>
    </xf>
    <xf numFmtId="0" fontId="1" fillId="0" borderId="1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vertical="top" wrapText="1"/>
      <protection locked="0"/>
    </xf>
    <xf numFmtId="0" fontId="10" fillId="0" borderId="20" xfId="2" applyFont="1" applyFill="1" applyBorder="1" applyAlignment="1" applyProtection="1">
      <alignment horizontal="center" vertical="center"/>
      <protection locked="0"/>
    </xf>
    <xf numFmtId="0" fontId="10" fillId="2" borderId="10" xfId="2" applyFont="1" applyFill="1" applyBorder="1" applyAlignment="1" applyProtection="1">
      <alignment horizontal="center" vertical="center"/>
      <protection locked="0"/>
    </xf>
    <xf numFmtId="0" fontId="11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3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20" fillId="0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1" xfId="0" applyFont="1" applyFill="1" applyBorder="1" applyAlignment="1" applyProtection="1">
      <alignment vertical="top" wrapText="1"/>
      <protection locked="0"/>
    </xf>
    <xf numFmtId="0" fontId="1" fillId="0" borderId="1" xfId="0" applyFont="1" applyFill="1" applyBorder="1" applyAlignment="1" applyProtection="1">
      <alignment horizontal="center" wrapText="1"/>
      <protection locked="0"/>
    </xf>
    <xf numFmtId="0" fontId="1" fillId="0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4" fillId="0" borderId="0" xfId="0" applyFont="1" applyAlignment="1" applyProtection="1">
      <alignment horizontal="left" vertical="top" wrapText="1"/>
    </xf>
    <xf numFmtId="0" fontId="4" fillId="2" borderId="8" xfId="0" applyFont="1" applyFill="1" applyBorder="1" applyAlignment="1" applyProtection="1">
      <alignment horizontal="center" textRotation="90" wrapText="1"/>
    </xf>
    <xf numFmtId="0" fontId="4" fillId="0" borderId="11" xfId="0" applyFont="1" applyBorder="1" applyAlignment="1" applyProtection="1">
      <alignment horizontal="center" textRotation="90" wrapText="1"/>
    </xf>
    <xf numFmtId="0" fontId="4" fillId="0" borderId="12" xfId="0" applyFont="1" applyBorder="1" applyAlignment="1" applyProtection="1">
      <alignment horizontal="center" textRotation="90" wrapText="1"/>
    </xf>
    <xf numFmtId="0" fontId="10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/>
    <xf numFmtId="0" fontId="0" fillId="2" borderId="1" xfId="0" applyFill="1" applyBorder="1" applyAlignment="1" applyProtection="1">
      <alignment horizontal="center" textRotation="90" wrapText="1"/>
    </xf>
    <xf numFmtId="0" fontId="0" fillId="2" borderId="1" xfId="0" applyFill="1" applyBorder="1" applyAlignment="1" applyProtection="1">
      <alignment horizontal="center" textRotation="90"/>
    </xf>
    <xf numFmtId="0" fontId="0" fillId="2" borderId="1" xfId="0" applyFill="1" applyBorder="1" applyAlignment="1" applyProtection="1">
      <alignment horizontal="center" textRotation="90"/>
      <protection locked="0"/>
    </xf>
    <xf numFmtId="0" fontId="0" fillId="2" borderId="9" xfId="0" applyFill="1" applyBorder="1" applyAlignment="1" applyProtection="1">
      <alignment horizontal="center"/>
    </xf>
    <xf numFmtId="0" fontId="0" fillId="2" borderId="10" xfId="0" applyFill="1" applyBorder="1" applyAlignment="1" applyProtection="1">
      <alignment horizontal="center"/>
    </xf>
    <xf numFmtId="0" fontId="0" fillId="2" borderId="8" xfId="0" applyFill="1" applyBorder="1" applyAlignment="1" applyProtection="1">
      <alignment horizontal="center" textRotation="90" wrapText="1"/>
    </xf>
    <xf numFmtId="0" fontId="0" fillId="2" borderId="12" xfId="0" applyFill="1" applyBorder="1" applyAlignment="1" applyProtection="1">
      <alignment horizontal="center" textRotation="90" wrapText="1"/>
    </xf>
    <xf numFmtId="0" fontId="0" fillId="3" borderId="1" xfId="0" applyFill="1" applyBorder="1" applyAlignment="1" applyProtection="1">
      <alignment horizontal="center" textRotation="90" wrapText="1"/>
    </xf>
    <xf numFmtId="0" fontId="11" fillId="0" borderId="13" xfId="0" applyFont="1" applyBorder="1" applyAlignment="1" applyProtection="1">
      <alignment horizontal="left" vertical="center"/>
      <protection locked="0"/>
    </xf>
    <xf numFmtId="0" fontId="12" fillId="0" borderId="13" xfId="0" applyFont="1" applyBorder="1" applyAlignment="1" applyProtection="1">
      <alignment horizontal="left" vertical="center"/>
      <protection locked="0"/>
    </xf>
    <xf numFmtId="0" fontId="12" fillId="0" borderId="7" xfId="0" applyFont="1" applyBorder="1" applyAlignment="1" applyProtection="1">
      <alignment horizontal="left" vertical="center"/>
      <protection locked="0"/>
    </xf>
    <xf numFmtId="14" fontId="12" fillId="0" borderId="13" xfId="0" applyNumberFormat="1" applyFont="1" applyBorder="1" applyAlignment="1" applyProtection="1">
      <alignment horizontal="left" vertical="center"/>
      <protection locked="0"/>
    </xf>
    <xf numFmtId="0" fontId="0" fillId="0" borderId="0" xfId="0" applyAlignment="1">
      <alignment vertical="justify"/>
    </xf>
    <xf numFmtId="0" fontId="11" fillId="0" borderId="8" xfId="1" applyFont="1" applyFill="1" applyBorder="1" applyAlignment="1" applyProtection="1">
      <alignment horizontal="left" vertical="center"/>
      <protection locked="0"/>
    </xf>
    <xf numFmtId="0" fontId="11" fillId="0" borderId="12" xfId="1" applyFont="1" applyFill="1" applyBorder="1" applyAlignment="1" applyProtection="1">
      <alignment horizontal="left" vertical="center"/>
      <protection locked="0"/>
    </xf>
    <xf numFmtId="0" fontId="3" fillId="0" borderId="0" xfId="1" applyFont="1" applyFill="1" applyBorder="1" applyAlignment="1" applyProtection="1">
      <alignment horizontal="center" vertical="center"/>
    </xf>
    <xf numFmtId="0" fontId="10" fillId="5" borderId="19" xfId="1" applyFont="1" applyFill="1" applyBorder="1" applyAlignment="1" applyProtection="1">
      <alignment horizontal="center" vertical="center"/>
      <protection locked="0"/>
    </xf>
    <xf numFmtId="0" fontId="10" fillId="5" borderId="13" xfId="1" applyFont="1" applyFill="1" applyBorder="1" applyAlignment="1" applyProtection="1">
      <alignment horizontal="center" vertical="center"/>
      <protection locked="0"/>
    </xf>
    <xf numFmtId="0" fontId="10" fillId="5" borderId="7" xfId="1" applyFont="1" applyFill="1" applyBorder="1" applyAlignment="1" applyProtection="1">
      <alignment horizontal="center" vertical="center"/>
      <protection locked="0"/>
    </xf>
    <xf numFmtId="0" fontId="11" fillId="0" borderId="8" xfId="1" applyFont="1" applyFill="1" applyBorder="1" applyAlignment="1" applyProtection="1">
      <alignment horizontal="left" vertical="center" wrapText="1"/>
      <protection locked="0"/>
    </xf>
    <xf numFmtId="0" fontId="11" fillId="0" borderId="12" xfId="1" applyFont="1" applyFill="1" applyBorder="1" applyAlignment="1" applyProtection="1">
      <alignment horizontal="left" vertical="center" wrapText="1"/>
      <protection locked="0"/>
    </xf>
    <xf numFmtId="0" fontId="11" fillId="0" borderId="8" xfId="1" applyFont="1" applyFill="1" applyBorder="1" applyAlignment="1" applyProtection="1">
      <alignment horizontal="left" vertical="center"/>
    </xf>
    <xf numFmtId="0" fontId="11" fillId="0" borderId="12" xfId="1" applyFont="1" applyFill="1" applyBorder="1" applyAlignment="1" applyProtection="1">
      <alignment horizontal="left" vertical="center"/>
    </xf>
    <xf numFmtId="0" fontId="4" fillId="3" borderId="8" xfId="1" applyFont="1" applyFill="1" applyBorder="1" applyAlignment="1" applyProtection="1">
      <alignment horizontal="left" vertical="center"/>
    </xf>
    <xf numFmtId="0" fontId="4" fillId="3" borderId="11" xfId="1" applyFont="1" applyFill="1" applyBorder="1" applyAlignment="1" applyProtection="1">
      <alignment horizontal="left" vertical="center"/>
    </xf>
    <xf numFmtId="0" fontId="4" fillId="3" borderId="12" xfId="1" applyFont="1" applyFill="1" applyBorder="1" applyAlignment="1" applyProtection="1">
      <alignment horizontal="left" vertical="center"/>
    </xf>
    <xf numFmtId="0" fontId="4" fillId="2" borderId="8" xfId="1" applyFont="1" applyFill="1" applyBorder="1" applyAlignment="1" applyProtection="1">
      <alignment horizontal="left" vertical="center"/>
    </xf>
    <xf numFmtId="0" fontId="4" fillId="2" borderId="11" xfId="1" applyFont="1" applyFill="1" applyBorder="1" applyAlignment="1" applyProtection="1">
      <alignment horizontal="left" vertical="center"/>
    </xf>
    <xf numFmtId="0" fontId="4" fillId="2" borderId="12" xfId="1" applyFont="1" applyFill="1" applyBorder="1" applyAlignment="1" applyProtection="1">
      <alignment horizontal="left" vertical="center"/>
    </xf>
    <xf numFmtId="0" fontId="1" fillId="6" borderId="1" xfId="1" applyFont="1" applyFill="1" applyBorder="1" applyAlignment="1" applyProtection="1">
      <alignment horizontal="left" vertical="center"/>
    </xf>
    <xf numFmtId="0" fontId="1" fillId="3" borderId="8" xfId="1" applyFont="1" applyFill="1" applyBorder="1" applyAlignment="1" applyProtection="1">
      <alignment horizontal="left" vertical="center"/>
    </xf>
    <xf numFmtId="0" fontId="1" fillId="3" borderId="11" xfId="1" applyFont="1" applyFill="1" applyBorder="1" applyAlignment="1" applyProtection="1">
      <alignment horizontal="left" vertical="center"/>
    </xf>
    <xf numFmtId="0" fontId="1" fillId="3" borderId="12" xfId="1" applyFont="1" applyFill="1" applyBorder="1" applyAlignment="1" applyProtection="1">
      <alignment horizontal="left" vertical="center"/>
    </xf>
    <xf numFmtId="0" fontId="0" fillId="0" borderId="8" xfId="1" applyFont="1" applyFill="1" applyBorder="1" applyAlignment="1" applyProtection="1">
      <alignment horizontal="left"/>
    </xf>
    <xf numFmtId="0" fontId="0" fillId="0" borderId="11" xfId="1" applyFont="1" applyFill="1" applyBorder="1" applyAlignment="1" applyProtection="1">
      <alignment horizontal="left"/>
    </xf>
    <xf numFmtId="0" fontId="0" fillId="0" borderId="12" xfId="1" applyFont="1" applyFill="1" applyBorder="1" applyAlignment="1" applyProtection="1">
      <alignment horizontal="left"/>
    </xf>
  </cellXfs>
  <cellStyles count="4">
    <cellStyle name="Normal 2 2" xfId="3" xr:uid="{00000000-0005-0000-0000-000001000000}"/>
    <cellStyle name="Standaard" xfId="0" builtinId="0"/>
    <cellStyle name="Standaard 2" xfId="1" xr:uid="{00000000-0005-0000-0000-000002000000}"/>
    <cellStyle name="Standaard 3" xfId="2" xr:uid="{00000000-0005-0000-0000-000003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152400</xdr:rowOff>
    </xdr:from>
    <xdr:to>
      <xdr:col>9</xdr:col>
      <xdr:colOff>152400</xdr:colOff>
      <xdr:row>3</xdr:row>
      <xdr:rowOff>114300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 txBox="1">
          <a:spLocks noChangeArrowheads="1"/>
        </xdr:cNvSpPr>
      </xdr:nvSpPr>
      <xdr:spPr bwMode="auto">
        <a:xfrm>
          <a:off x="0" y="381000"/>
          <a:ext cx="7010400" cy="285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nl-NL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DATA CARGO, VEHICLES, CONTAINERS</a:t>
          </a:r>
        </a:p>
      </xdr:txBody>
    </xdr:sp>
    <xdr:clientData/>
  </xdr:twoCellAnchor>
  <xdr:twoCellAnchor>
    <xdr:from>
      <xdr:col>0</xdr:col>
      <xdr:colOff>0</xdr:colOff>
      <xdr:row>3</xdr:row>
      <xdr:rowOff>104775</xdr:rowOff>
    </xdr:from>
    <xdr:to>
      <xdr:col>28</xdr:col>
      <xdr:colOff>0</xdr:colOff>
      <xdr:row>3</xdr:row>
      <xdr:rowOff>104775</xdr:rowOff>
    </xdr:to>
    <xdr:sp macro="" textlink="">
      <xdr:nvSpPr>
        <xdr:cNvPr id="2196" name="Line 2">
          <a:extLst>
            <a:ext uri="{FF2B5EF4-FFF2-40B4-BE49-F238E27FC236}">
              <a16:creationId xmlns:a16="http://schemas.microsoft.com/office/drawing/2014/main" id="{00000000-0008-0000-0100-000094080000}"/>
            </a:ext>
          </a:extLst>
        </xdr:cNvPr>
        <xdr:cNvSpPr>
          <a:spLocks noChangeShapeType="1"/>
        </xdr:cNvSpPr>
      </xdr:nvSpPr>
      <xdr:spPr bwMode="auto">
        <a:xfrm>
          <a:off x="0" y="657225"/>
          <a:ext cx="150971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27</xdr:row>
      <xdr:rowOff>57150</xdr:rowOff>
    </xdr:from>
    <xdr:to>
      <xdr:col>1</xdr:col>
      <xdr:colOff>1562100</xdr:colOff>
      <xdr:row>43</xdr:row>
      <xdr:rowOff>66675</xdr:rowOff>
    </xdr:to>
    <xdr:pic>
      <xdr:nvPicPr>
        <xdr:cNvPr id="3169" name="Afbeelding 3">
          <a:extLst>
            <a:ext uri="{FF2B5EF4-FFF2-40B4-BE49-F238E27FC236}">
              <a16:creationId xmlns:a16="http://schemas.microsoft.com/office/drawing/2014/main" id="{00000000-0008-0000-0300-00006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467225"/>
          <a:ext cx="4419600" cy="2600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10</xdr:row>
      <xdr:rowOff>123825</xdr:rowOff>
    </xdr:from>
    <xdr:to>
      <xdr:col>0</xdr:col>
      <xdr:colOff>2305050</xdr:colOff>
      <xdr:row>24</xdr:row>
      <xdr:rowOff>85725</xdr:rowOff>
    </xdr:to>
    <xdr:pic>
      <xdr:nvPicPr>
        <xdr:cNvPr id="3170" name="Afbeelding 4">
          <a:extLst>
            <a:ext uri="{FF2B5EF4-FFF2-40B4-BE49-F238E27FC236}">
              <a16:creationId xmlns:a16="http://schemas.microsoft.com/office/drawing/2014/main" id="{00000000-0008-0000-0300-00006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64" b="30910"/>
        <a:stretch>
          <a:fillRect/>
        </a:stretch>
      </xdr:blipFill>
      <xdr:spPr bwMode="auto">
        <a:xfrm>
          <a:off x="66675" y="1781175"/>
          <a:ext cx="223837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opLeftCell="A22" workbookViewId="0">
      <selection activeCell="C71" sqref="C71"/>
    </sheetView>
  </sheetViews>
  <sheetFormatPr defaultRowHeight="14.1" customHeight="1" x14ac:dyDescent="0.2"/>
  <cols>
    <col min="1" max="1" width="3.85546875" style="206" customWidth="1"/>
    <col min="2" max="2" width="38.5703125" style="198" customWidth="1"/>
    <col min="3" max="3" width="202.7109375" style="198" customWidth="1"/>
    <col min="4" max="16384" width="9.140625" style="206"/>
  </cols>
  <sheetData>
    <row r="1" spans="1:14" s="205" customFormat="1" ht="14.1" customHeight="1" x14ac:dyDescent="0.2">
      <c r="B1" s="203" t="s">
        <v>764</v>
      </c>
      <c r="C1" s="204"/>
    </row>
    <row r="3" spans="1:14" ht="14.1" customHeight="1" x14ac:dyDescent="0.2">
      <c r="B3" s="197" t="s">
        <v>766</v>
      </c>
    </row>
    <row r="4" spans="1:14" ht="14.1" customHeight="1" x14ac:dyDescent="0.2">
      <c r="A4" s="198">
        <v>1</v>
      </c>
      <c r="B4" s="216" t="s">
        <v>708</v>
      </c>
      <c r="C4" s="212"/>
      <c r="D4" s="207"/>
      <c r="E4" s="207"/>
      <c r="F4" s="207"/>
      <c r="G4" s="207"/>
    </row>
    <row r="5" spans="1:14" ht="14.1" customHeight="1" x14ac:dyDescent="0.2">
      <c r="A5" s="198">
        <v>2</v>
      </c>
      <c r="B5" s="215" t="s">
        <v>765</v>
      </c>
      <c r="C5" s="212"/>
      <c r="F5" s="207"/>
      <c r="G5" s="207"/>
    </row>
    <row r="6" spans="1:14" ht="14.1" customHeight="1" x14ac:dyDescent="0.2">
      <c r="A6" s="198">
        <v>3</v>
      </c>
      <c r="B6" s="215" t="s">
        <v>508</v>
      </c>
      <c r="C6" s="212"/>
      <c r="F6" s="207"/>
      <c r="G6" s="207"/>
    </row>
    <row r="7" spans="1:14" ht="14.1" customHeight="1" x14ac:dyDescent="0.2">
      <c r="A7" s="198">
        <v>4</v>
      </c>
      <c r="B7" s="217" t="s">
        <v>739</v>
      </c>
      <c r="C7" s="212"/>
      <c r="F7" s="207"/>
      <c r="G7" s="207"/>
    </row>
    <row r="8" spans="1:14" ht="14.1" customHeight="1" x14ac:dyDescent="0.2">
      <c r="A8" s="198">
        <v>5</v>
      </c>
      <c r="B8" s="215" t="s">
        <v>512</v>
      </c>
      <c r="C8" s="212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</row>
    <row r="9" spans="1:14" ht="14.1" customHeight="1" x14ac:dyDescent="0.2">
      <c r="A9" s="198">
        <v>6</v>
      </c>
      <c r="B9" s="216" t="s">
        <v>506</v>
      </c>
      <c r="C9" s="212"/>
      <c r="D9" s="207"/>
      <c r="E9" s="207"/>
    </row>
    <row r="10" spans="1:14" ht="14.1" customHeight="1" x14ac:dyDescent="0.2">
      <c r="A10" s="198">
        <v>7</v>
      </c>
      <c r="B10" s="211" t="s">
        <v>525</v>
      </c>
      <c r="C10" s="212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</row>
    <row r="11" spans="1:14" ht="14.1" customHeight="1" x14ac:dyDescent="0.2">
      <c r="A11" s="198">
        <v>8</v>
      </c>
      <c r="B11" s="211" t="s">
        <v>524</v>
      </c>
      <c r="C11" s="212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</row>
    <row r="12" spans="1:14" ht="14.1" customHeight="1" x14ac:dyDescent="0.2">
      <c r="A12" s="198">
        <v>9</v>
      </c>
      <c r="B12" s="211" t="s">
        <v>526</v>
      </c>
      <c r="C12" s="212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</row>
    <row r="13" spans="1:14" ht="14.1" customHeight="1" x14ac:dyDescent="0.2">
      <c r="A13" s="198">
        <v>10</v>
      </c>
      <c r="B13" s="211" t="s">
        <v>527</v>
      </c>
      <c r="C13" s="212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</row>
    <row r="14" spans="1:14" ht="14.1" customHeight="1" x14ac:dyDescent="0.2">
      <c r="A14" s="198">
        <v>11</v>
      </c>
      <c r="B14" s="211" t="s">
        <v>709</v>
      </c>
      <c r="C14" s="212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</row>
    <row r="15" spans="1:14" ht="14.1" customHeight="1" x14ac:dyDescent="0.2">
      <c r="A15" s="198">
        <v>12</v>
      </c>
      <c r="B15" s="211" t="s">
        <v>710</v>
      </c>
      <c r="C15" s="212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</row>
    <row r="16" spans="1:14" ht="14.1" customHeight="1" x14ac:dyDescent="0.2">
      <c r="A16" s="198">
        <v>13</v>
      </c>
      <c r="B16" s="211" t="s">
        <v>740</v>
      </c>
      <c r="C16" s="212"/>
    </row>
    <row r="17" spans="1:3" ht="14.1" customHeight="1" x14ac:dyDescent="0.2">
      <c r="A17" s="198">
        <v>14</v>
      </c>
      <c r="B17" s="213" t="s">
        <v>741</v>
      </c>
      <c r="C17" s="212"/>
    </row>
    <row r="20" spans="1:3" ht="14.1" customHeight="1" x14ac:dyDescent="0.2">
      <c r="B20" s="197" t="s">
        <v>742</v>
      </c>
    </row>
    <row r="21" spans="1:3" ht="14.1" customHeight="1" x14ac:dyDescent="0.2">
      <c r="B21" s="198" t="s">
        <v>3</v>
      </c>
      <c r="C21" s="199" t="s">
        <v>767</v>
      </c>
    </row>
    <row r="22" spans="1:3" ht="14.1" customHeight="1" x14ac:dyDescent="0.2">
      <c r="B22" s="198" t="s">
        <v>743</v>
      </c>
      <c r="C22" s="199" t="s">
        <v>711</v>
      </c>
    </row>
    <row r="23" spans="1:3" ht="14.1" customHeight="1" x14ac:dyDescent="0.2">
      <c r="B23" s="198" t="s">
        <v>744</v>
      </c>
      <c r="C23" s="199" t="s">
        <v>745</v>
      </c>
    </row>
    <row r="24" spans="1:3" ht="14.1" customHeight="1" x14ac:dyDescent="0.2">
      <c r="B24" s="198" t="s">
        <v>746</v>
      </c>
      <c r="C24" s="199" t="s">
        <v>712</v>
      </c>
    </row>
    <row r="25" spans="1:3" ht="14.1" customHeight="1" x14ac:dyDescent="0.2">
      <c r="B25" s="198" t="s">
        <v>747</v>
      </c>
      <c r="C25" s="199" t="s">
        <v>748</v>
      </c>
    </row>
    <row r="26" spans="1:3" ht="14.1" customHeight="1" x14ac:dyDescent="0.2">
      <c r="B26" s="198" t="s">
        <v>749</v>
      </c>
      <c r="C26" s="199" t="s">
        <v>713</v>
      </c>
    </row>
    <row r="27" spans="1:3" ht="14.1" customHeight="1" x14ac:dyDescent="0.2">
      <c r="B27" s="198" t="s">
        <v>750</v>
      </c>
      <c r="C27" s="199" t="s">
        <v>714</v>
      </c>
    </row>
    <row r="28" spans="1:3" ht="14.1" customHeight="1" x14ac:dyDescent="0.2">
      <c r="B28" s="198" t="s">
        <v>751</v>
      </c>
      <c r="C28" s="199" t="s">
        <v>715</v>
      </c>
    </row>
    <row r="29" spans="1:3" ht="14.1" customHeight="1" x14ac:dyDescent="0.2">
      <c r="B29" s="198" t="s">
        <v>752</v>
      </c>
      <c r="C29" s="199" t="s">
        <v>716</v>
      </c>
    </row>
    <row r="30" spans="1:3" ht="14.1" customHeight="1" x14ac:dyDescent="0.2">
      <c r="B30" s="198" t="s">
        <v>36</v>
      </c>
      <c r="C30" s="200" t="s">
        <v>768</v>
      </c>
    </row>
    <row r="31" spans="1:3" ht="14.1" customHeight="1" x14ac:dyDescent="0.2">
      <c r="B31" s="198" t="s">
        <v>9</v>
      </c>
      <c r="C31" s="199" t="s">
        <v>717</v>
      </c>
    </row>
    <row r="32" spans="1:3" ht="14.1" customHeight="1" x14ac:dyDescent="0.2">
      <c r="B32" s="198" t="s">
        <v>718</v>
      </c>
      <c r="C32" s="199" t="s">
        <v>719</v>
      </c>
    </row>
    <row r="33" spans="1:14" ht="14.1" customHeight="1" x14ac:dyDescent="0.2">
      <c r="B33" s="198" t="s">
        <v>720</v>
      </c>
      <c r="C33" s="199" t="s">
        <v>721</v>
      </c>
    </row>
    <row r="34" spans="1:14" ht="14.1" customHeight="1" x14ac:dyDescent="0.2">
      <c r="B34" s="198" t="s">
        <v>722</v>
      </c>
      <c r="C34" s="199" t="s">
        <v>723</v>
      </c>
    </row>
    <row r="35" spans="1:14" ht="14.1" customHeight="1" x14ac:dyDescent="0.2">
      <c r="B35" s="198" t="s">
        <v>724</v>
      </c>
      <c r="C35" s="199" t="s">
        <v>753</v>
      </c>
    </row>
    <row r="36" spans="1:14" ht="14.1" customHeight="1" x14ac:dyDescent="0.2">
      <c r="B36" s="198" t="s">
        <v>725</v>
      </c>
      <c r="C36" s="199" t="s">
        <v>754</v>
      </c>
    </row>
    <row r="37" spans="1:14" ht="14.1" customHeight="1" x14ac:dyDescent="0.2">
      <c r="B37" s="198" t="s">
        <v>726</v>
      </c>
      <c r="C37" s="199" t="s">
        <v>727</v>
      </c>
    </row>
    <row r="38" spans="1:14" ht="14.1" customHeight="1" x14ac:dyDescent="0.2">
      <c r="B38" s="198" t="s">
        <v>37</v>
      </c>
      <c r="C38" s="199" t="s">
        <v>769</v>
      </c>
    </row>
    <row r="39" spans="1:14" ht="14.1" customHeight="1" x14ac:dyDescent="0.2">
      <c r="B39" s="198" t="s">
        <v>38</v>
      </c>
      <c r="C39" s="199" t="s">
        <v>770</v>
      </c>
    </row>
    <row r="40" spans="1:14" ht="14.1" customHeight="1" x14ac:dyDescent="0.2">
      <c r="B40" s="198" t="s">
        <v>728</v>
      </c>
      <c r="C40" s="199" t="s">
        <v>729</v>
      </c>
    </row>
    <row r="41" spans="1:14" ht="14.1" customHeight="1" x14ac:dyDescent="0.2">
      <c r="C41" s="199"/>
    </row>
    <row r="43" spans="1:14" ht="14.1" customHeight="1" x14ac:dyDescent="0.2">
      <c r="B43" s="197" t="s">
        <v>730</v>
      </c>
    </row>
    <row r="44" spans="1:14" ht="14.1" customHeight="1" x14ac:dyDescent="0.2">
      <c r="A44" s="206">
        <v>1</v>
      </c>
      <c r="B44" s="214" t="s">
        <v>731</v>
      </c>
      <c r="C44" s="212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</row>
    <row r="45" spans="1:14" ht="14.1" customHeight="1" x14ac:dyDescent="0.2">
      <c r="A45" s="206">
        <v>2</v>
      </c>
      <c r="B45" s="215" t="s">
        <v>732</v>
      </c>
      <c r="C45" s="212"/>
    </row>
    <row r="47" spans="1:14" ht="14.1" customHeight="1" x14ac:dyDescent="0.2">
      <c r="B47" s="197" t="s">
        <v>733</v>
      </c>
    </row>
    <row r="48" spans="1:14" ht="14.1" customHeight="1" x14ac:dyDescent="0.2">
      <c r="A48" s="206">
        <v>1</v>
      </c>
      <c r="B48" s="198" t="s">
        <v>550</v>
      </c>
      <c r="C48" s="198" t="s">
        <v>597</v>
      </c>
    </row>
    <row r="49" spans="1:12" ht="14.1" customHeight="1" x14ac:dyDescent="0.2">
      <c r="A49" s="206">
        <v>2</v>
      </c>
      <c r="B49" s="198" t="s">
        <v>551</v>
      </c>
      <c r="C49" s="198" t="s">
        <v>598</v>
      </c>
    </row>
    <row r="50" spans="1:12" ht="14.1" customHeight="1" x14ac:dyDescent="0.2">
      <c r="A50" s="206">
        <v>3</v>
      </c>
      <c r="B50" s="198" t="s">
        <v>552</v>
      </c>
      <c r="C50" s="198" t="s">
        <v>599</v>
      </c>
    </row>
    <row r="51" spans="1:12" ht="14.1" customHeight="1" x14ac:dyDescent="0.2">
      <c r="A51" s="206">
        <v>4</v>
      </c>
      <c r="B51" s="198" t="s">
        <v>553</v>
      </c>
      <c r="C51" s="198" t="s">
        <v>755</v>
      </c>
    </row>
    <row r="52" spans="1:12" ht="14.1" customHeight="1" x14ac:dyDescent="0.2">
      <c r="A52" s="206">
        <v>5</v>
      </c>
      <c r="B52" s="198" t="s">
        <v>554</v>
      </c>
      <c r="C52" s="198" t="s">
        <v>756</v>
      </c>
    </row>
    <row r="53" spans="1:12" ht="14.1" customHeight="1" x14ac:dyDescent="0.2">
      <c r="A53" s="206">
        <v>6</v>
      </c>
      <c r="B53" s="198" t="s">
        <v>555</v>
      </c>
      <c r="C53" s="198" t="s">
        <v>602</v>
      </c>
    </row>
    <row r="54" spans="1:12" ht="14.1" customHeight="1" x14ac:dyDescent="0.2">
      <c r="A54" s="206">
        <v>7</v>
      </c>
      <c r="B54" s="198" t="s">
        <v>556</v>
      </c>
      <c r="C54" s="198" t="s">
        <v>603</v>
      </c>
    </row>
    <row r="55" spans="1:12" ht="14.1" customHeight="1" x14ac:dyDescent="0.2">
      <c r="A55" s="206">
        <v>8</v>
      </c>
      <c r="B55" s="198" t="s">
        <v>557</v>
      </c>
      <c r="C55" s="198" t="s">
        <v>734</v>
      </c>
    </row>
    <row r="56" spans="1:12" ht="14.1" customHeight="1" x14ac:dyDescent="0.2">
      <c r="A56" s="206">
        <v>9</v>
      </c>
      <c r="B56" s="198" t="s">
        <v>558</v>
      </c>
      <c r="C56" s="198" t="s">
        <v>605</v>
      </c>
    </row>
    <row r="57" spans="1:12" ht="14.1" customHeight="1" x14ac:dyDescent="0.2">
      <c r="A57" s="206">
        <v>10</v>
      </c>
      <c r="B57" s="198" t="s">
        <v>559</v>
      </c>
      <c r="C57" s="198" t="s">
        <v>606</v>
      </c>
    </row>
    <row r="58" spans="1:12" ht="14.1" customHeight="1" x14ac:dyDescent="0.2">
      <c r="A58" s="206">
        <v>11</v>
      </c>
      <c r="B58" s="198" t="s">
        <v>735</v>
      </c>
      <c r="C58" s="198" t="s">
        <v>757</v>
      </c>
    </row>
    <row r="59" spans="1:12" ht="14.1" customHeight="1" x14ac:dyDescent="0.2">
      <c r="A59" s="206">
        <v>12</v>
      </c>
      <c r="B59" s="198" t="s">
        <v>561</v>
      </c>
      <c r="C59" s="198" t="s">
        <v>758</v>
      </c>
    </row>
    <row r="60" spans="1:12" ht="14.1" customHeight="1" x14ac:dyDescent="0.2">
      <c r="A60" s="206">
        <v>13</v>
      </c>
      <c r="B60" s="198" t="s">
        <v>562</v>
      </c>
      <c r="C60" s="198" t="s">
        <v>759</v>
      </c>
    </row>
    <row r="61" spans="1:12" ht="14.1" customHeight="1" x14ac:dyDescent="0.2">
      <c r="A61" s="206">
        <v>14</v>
      </c>
      <c r="B61" s="198" t="s">
        <v>736</v>
      </c>
      <c r="C61" s="198" t="s">
        <v>760</v>
      </c>
    </row>
    <row r="62" spans="1:12" ht="14.1" customHeight="1" x14ac:dyDescent="0.2">
      <c r="A62" s="206">
        <v>15</v>
      </c>
      <c r="B62" s="198" t="s">
        <v>564</v>
      </c>
      <c r="C62" s="198" t="s">
        <v>761</v>
      </c>
    </row>
    <row r="63" spans="1:12" ht="14.1" customHeight="1" x14ac:dyDescent="0.2">
      <c r="A63" s="206">
        <v>16</v>
      </c>
      <c r="B63" s="198" t="s">
        <v>565</v>
      </c>
      <c r="C63" s="198" t="s">
        <v>762</v>
      </c>
    </row>
    <row r="64" spans="1:12" ht="14.1" customHeight="1" x14ac:dyDescent="0.2">
      <c r="A64" s="206">
        <v>17</v>
      </c>
      <c r="B64" s="199" t="s">
        <v>566</v>
      </c>
      <c r="C64" s="199" t="s">
        <v>737</v>
      </c>
      <c r="D64" s="208"/>
      <c r="E64" s="208"/>
      <c r="F64" s="208"/>
      <c r="G64" s="208"/>
      <c r="H64" s="208"/>
      <c r="I64" s="208"/>
      <c r="J64" s="208"/>
      <c r="K64" s="208"/>
      <c r="L64" s="208"/>
    </row>
    <row r="65" spans="1:12" ht="14.1" customHeight="1" x14ac:dyDescent="0.2">
      <c r="A65" s="206">
        <v>18</v>
      </c>
      <c r="B65" s="199" t="s">
        <v>567</v>
      </c>
      <c r="C65" s="199" t="s">
        <v>771</v>
      </c>
      <c r="D65" s="208"/>
      <c r="E65" s="208"/>
      <c r="F65" s="208"/>
      <c r="G65" s="208"/>
      <c r="H65" s="208"/>
      <c r="I65" s="208"/>
      <c r="J65" s="208"/>
      <c r="K65" s="208"/>
      <c r="L65" s="208"/>
    </row>
    <row r="66" spans="1:12" ht="14.1" customHeight="1" x14ac:dyDescent="0.2">
      <c r="A66" s="206">
        <v>19</v>
      </c>
      <c r="B66" s="199" t="s">
        <v>568</v>
      </c>
      <c r="C66" s="199" t="s">
        <v>772</v>
      </c>
      <c r="D66" s="208"/>
      <c r="E66" s="208"/>
      <c r="F66" s="208"/>
      <c r="G66" s="208"/>
      <c r="H66" s="208"/>
      <c r="I66" s="208"/>
      <c r="J66" s="208"/>
      <c r="K66" s="208"/>
      <c r="L66" s="208"/>
    </row>
    <row r="67" spans="1:12" ht="14.1" customHeight="1" x14ac:dyDescent="0.2">
      <c r="A67" s="206">
        <v>20</v>
      </c>
      <c r="B67" s="198" t="s">
        <v>569</v>
      </c>
      <c r="C67" s="198" t="s">
        <v>616</v>
      </c>
    </row>
    <row r="68" spans="1:12" ht="14.1" customHeight="1" x14ac:dyDescent="0.2">
      <c r="A68" s="206">
        <v>21</v>
      </c>
      <c r="B68" s="198" t="s">
        <v>738</v>
      </c>
      <c r="C68" s="202" t="s">
        <v>763</v>
      </c>
    </row>
    <row r="69" spans="1:12" ht="14.1" customHeight="1" x14ac:dyDescent="0.2">
      <c r="A69" s="206">
        <v>22</v>
      </c>
      <c r="B69" s="198" t="s">
        <v>571</v>
      </c>
      <c r="C69" s="198" t="s">
        <v>618</v>
      </c>
    </row>
    <row r="70" spans="1:12" ht="14.1" customHeight="1" x14ac:dyDescent="0.2">
      <c r="A70" s="206">
        <v>23</v>
      </c>
      <c r="B70" s="198" t="s">
        <v>572</v>
      </c>
      <c r="C70" s="198" t="s">
        <v>619</v>
      </c>
    </row>
  </sheetData>
  <mergeCells count="16">
    <mergeCell ref="B9:C9"/>
    <mergeCell ref="B4:C4"/>
    <mergeCell ref="B5:C5"/>
    <mergeCell ref="B6:C6"/>
    <mergeCell ref="B7:C7"/>
    <mergeCell ref="B8:C8"/>
    <mergeCell ref="B16:C16"/>
    <mergeCell ref="B17:C17"/>
    <mergeCell ref="B44:C44"/>
    <mergeCell ref="B45:C45"/>
    <mergeCell ref="B10:C10"/>
    <mergeCell ref="B11:C11"/>
    <mergeCell ref="B12:C12"/>
    <mergeCell ref="B13:C13"/>
    <mergeCell ref="B14:C14"/>
    <mergeCell ref="B15:C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274"/>
  <sheetViews>
    <sheetView showGridLines="0" showZeros="0" tabSelected="1" zoomScale="90" zoomScaleNormal="90" workbookViewId="0">
      <selection activeCell="C8" sqref="C8"/>
    </sheetView>
  </sheetViews>
  <sheetFormatPr defaultRowHeight="12.75" x14ac:dyDescent="0.2"/>
  <cols>
    <col min="1" max="1" width="5.42578125" customWidth="1"/>
    <col min="2" max="2" width="27.5703125" style="2" customWidth="1"/>
    <col min="3" max="3" width="19.5703125" style="2" customWidth="1"/>
    <col min="4" max="4" width="38.7109375" style="2" customWidth="1"/>
    <col min="5" max="5" width="7.28515625" style="2" customWidth="1"/>
    <col min="6" max="6" width="17.28515625" style="2" customWidth="1"/>
    <col min="7" max="7" width="5.5703125" style="2" bestFit="1" customWidth="1"/>
    <col min="8" max="8" width="8" style="2" customWidth="1"/>
    <col min="9" max="9" width="6.7109375" style="2" customWidth="1"/>
    <col min="10" max="10" width="5.5703125" style="2" customWidth="1"/>
    <col min="11" max="11" width="5.85546875" style="2" bestFit="1" customWidth="1"/>
    <col min="12" max="12" width="6.140625" style="2" customWidth="1"/>
    <col min="13" max="13" width="5.85546875" style="2" bestFit="1" customWidth="1"/>
    <col min="14" max="14" width="6.42578125" style="2" customWidth="1"/>
    <col min="15" max="15" width="6.28515625" style="2" customWidth="1"/>
    <col min="16" max="17" width="6.7109375" style="2" bestFit="1" customWidth="1"/>
    <col min="18" max="19" width="7.85546875" style="2" customWidth="1"/>
    <col min="20" max="20" width="4.28515625" style="2" bestFit="1" customWidth="1"/>
    <col min="21" max="23" width="5.28515625" style="2" bestFit="1" customWidth="1"/>
    <col min="24" max="24" width="5.85546875" style="2" bestFit="1" customWidth="1"/>
    <col min="25" max="25" width="3" style="2" bestFit="1" customWidth="1"/>
    <col min="26" max="26" width="3.140625" style="2" bestFit="1" customWidth="1"/>
    <col min="27" max="27" width="4.85546875" style="2" customWidth="1"/>
    <col min="28" max="30" width="5.7109375" customWidth="1"/>
    <col min="31" max="32" width="3.85546875" customWidth="1"/>
    <col min="33" max="33" width="3.5703125" customWidth="1"/>
    <col min="34" max="34" width="3.42578125" customWidth="1"/>
  </cols>
  <sheetData>
    <row r="1" spans="1:34" ht="18" x14ac:dyDescent="0.25">
      <c r="A1" s="49"/>
      <c r="B1" s="50"/>
      <c r="C1" s="50"/>
      <c r="D1" s="50"/>
      <c r="E1" s="50"/>
      <c r="F1" s="51" t="s">
        <v>24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2"/>
      <c r="AC1" s="52"/>
      <c r="AD1" s="52"/>
      <c r="AE1" s="52"/>
      <c r="AF1" s="52"/>
      <c r="AG1" s="52"/>
      <c r="AH1" s="52"/>
    </row>
    <row r="2" spans="1:34" x14ac:dyDescent="0.2">
      <c r="A2" s="52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2"/>
      <c r="AC2" s="52"/>
      <c r="AD2" s="52"/>
      <c r="AE2" s="52"/>
      <c r="AF2" s="52"/>
      <c r="AG2" s="52"/>
      <c r="AH2" s="52"/>
    </row>
    <row r="3" spans="1:34" x14ac:dyDescent="0.2">
      <c r="A3" s="52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2"/>
      <c r="AC3" s="52"/>
      <c r="AD3" s="52"/>
      <c r="AE3" s="52"/>
      <c r="AF3" s="52"/>
      <c r="AG3" s="52"/>
      <c r="AH3" s="52"/>
    </row>
    <row r="4" spans="1:34" ht="13.5" thickBot="1" x14ac:dyDescent="0.25">
      <c r="A4" s="53"/>
      <c r="B4" s="54"/>
      <c r="C4" s="54"/>
      <c r="D4" s="54"/>
      <c r="E4" s="54"/>
      <c r="F4" s="54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2"/>
      <c r="AC4" s="52"/>
      <c r="AD4" s="52"/>
      <c r="AE4" s="52"/>
      <c r="AF4" s="52"/>
      <c r="AG4" s="52"/>
      <c r="AH4" s="52"/>
    </row>
    <row r="5" spans="1:34" ht="15.75" thickBot="1" x14ac:dyDescent="0.25">
      <c r="A5" s="53"/>
      <c r="B5" s="55" t="s">
        <v>16</v>
      </c>
      <c r="C5" s="234">
        <v>46121</v>
      </c>
      <c r="D5" s="232"/>
      <c r="E5" s="232"/>
      <c r="F5" s="233"/>
      <c r="G5" s="50"/>
      <c r="H5" s="50"/>
      <c r="I5" s="50"/>
      <c r="J5" s="50"/>
      <c r="K5" s="50"/>
      <c r="L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2"/>
      <c r="AC5" s="52"/>
      <c r="AD5" s="52"/>
      <c r="AE5" s="52"/>
      <c r="AF5" s="52"/>
      <c r="AG5" s="52"/>
      <c r="AH5" s="52"/>
    </row>
    <row r="6" spans="1:34" ht="15.75" thickBot="1" x14ac:dyDescent="0.25">
      <c r="A6" s="53"/>
      <c r="B6" s="56" t="s">
        <v>15</v>
      </c>
      <c r="C6" s="231" t="s">
        <v>777</v>
      </c>
      <c r="D6" s="232"/>
      <c r="E6" s="232"/>
      <c r="F6" s="233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2"/>
      <c r="AC6" s="52"/>
      <c r="AD6" s="52"/>
      <c r="AE6" s="52"/>
      <c r="AF6" s="52"/>
      <c r="AG6" s="52"/>
      <c r="AH6" s="52"/>
    </row>
    <row r="7" spans="1:34" ht="15.75" thickBot="1" x14ac:dyDescent="0.25">
      <c r="A7" s="53"/>
      <c r="B7" s="56" t="s">
        <v>22</v>
      </c>
      <c r="C7" s="72"/>
      <c r="D7" s="73"/>
      <c r="E7" s="73"/>
      <c r="F7" s="73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2"/>
      <c r="AC7" s="52"/>
      <c r="AD7" s="52"/>
      <c r="AE7" s="52"/>
      <c r="AF7" s="52"/>
      <c r="AG7" s="52"/>
      <c r="AH7" s="52"/>
    </row>
    <row r="8" spans="1:34" ht="15.75" thickBot="1" x14ac:dyDescent="0.25">
      <c r="A8" s="53"/>
      <c r="B8" s="56" t="s">
        <v>29</v>
      </c>
      <c r="C8" s="72"/>
      <c r="D8" s="73"/>
      <c r="E8" s="73"/>
      <c r="F8" s="73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2"/>
      <c r="AC8" s="52"/>
      <c r="AD8" s="52"/>
      <c r="AE8" s="52"/>
      <c r="AF8" s="52"/>
      <c r="AG8" s="52"/>
      <c r="AH8" s="52"/>
    </row>
    <row r="9" spans="1:34" ht="15" customHeight="1" x14ac:dyDescent="0.25">
      <c r="A9" s="52"/>
      <c r="B9" s="57"/>
      <c r="C9" s="57"/>
      <c r="D9" s="57"/>
      <c r="E9" s="50"/>
      <c r="F9" s="50"/>
      <c r="G9" s="221" t="s">
        <v>41</v>
      </c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2"/>
      <c r="AD9" s="222"/>
      <c r="AE9" s="222"/>
      <c r="AF9" s="222"/>
      <c r="AG9" s="222"/>
      <c r="AH9" s="222"/>
    </row>
    <row r="10" spans="1:34" ht="109.5" customHeight="1" x14ac:dyDescent="0.2">
      <c r="A10" s="225" t="s">
        <v>14</v>
      </c>
      <c r="B10" s="226" t="s">
        <v>3</v>
      </c>
      <c r="C10" s="226" t="s">
        <v>17</v>
      </c>
      <c r="D10" s="226" t="s">
        <v>18</v>
      </c>
      <c r="E10" s="223" t="s">
        <v>4</v>
      </c>
      <c r="F10" s="223" t="s">
        <v>19</v>
      </c>
      <c r="G10" s="173" t="s">
        <v>34</v>
      </c>
      <c r="H10" s="224" t="s">
        <v>35</v>
      </c>
      <c r="I10" s="224"/>
      <c r="J10" s="223" t="s">
        <v>5</v>
      </c>
      <c r="K10" s="223"/>
      <c r="L10" s="223" t="s">
        <v>6</v>
      </c>
      <c r="M10" s="223"/>
      <c r="N10" s="228" t="s">
        <v>7</v>
      </c>
      <c r="O10" s="229"/>
      <c r="P10" s="230" t="s">
        <v>8</v>
      </c>
      <c r="Q10" s="230"/>
      <c r="R10" s="58" t="s">
        <v>515</v>
      </c>
      <c r="S10" s="174" t="s">
        <v>32</v>
      </c>
      <c r="T10" s="59" t="s">
        <v>36</v>
      </c>
      <c r="U10" s="59" t="s">
        <v>9</v>
      </c>
      <c r="V10" s="59" t="s">
        <v>10</v>
      </c>
      <c r="W10" s="59" t="s">
        <v>20</v>
      </c>
      <c r="X10" s="60" t="s">
        <v>39</v>
      </c>
      <c r="Y10" s="228" t="s">
        <v>11</v>
      </c>
      <c r="Z10" s="229"/>
      <c r="AA10" s="60" t="s">
        <v>40</v>
      </c>
      <c r="AB10" s="59" t="s">
        <v>21</v>
      </c>
      <c r="AC10" s="61" t="s">
        <v>37</v>
      </c>
      <c r="AD10" s="61" t="s">
        <v>38</v>
      </c>
      <c r="AE10" s="218" t="s">
        <v>507</v>
      </c>
      <c r="AF10" s="219"/>
      <c r="AG10" s="219"/>
      <c r="AH10" s="220"/>
    </row>
    <row r="11" spans="1:34" ht="15" customHeight="1" x14ac:dyDescent="0.2">
      <c r="A11" s="225"/>
      <c r="B11" s="227"/>
      <c r="C11" s="227"/>
      <c r="D11" s="227"/>
      <c r="E11" s="224"/>
      <c r="F11" s="224"/>
      <c r="G11" s="62" t="s">
        <v>0</v>
      </c>
      <c r="H11" s="62" t="s">
        <v>0</v>
      </c>
      <c r="I11" s="62" t="s">
        <v>23</v>
      </c>
      <c r="J11" s="62" t="s">
        <v>0</v>
      </c>
      <c r="K11" s="62" t="s">
        <v>23</v>
      </c>
      <c r="L11" s="62" t="s">
        <v>0</v>
      </c>
      <c r="M11" s="62" t="s">
        <v>23</v>
      </c>
      <c r="N11" s="62" t="s">
        <v>1</v>
      </c>
      <c r="O11" s="63" t="s">
        <v>523</v>
      </c>
      <c r="P11" s="63" t="s">
        <v>1</v>
      </c>
      <c r="Q11" s="63" t="s">
        <v>523</v>
      </c>
      <c r="R11" s="64" t="s">
        <v>520</v>
      </c>
      <c r="S11" s="63" t="s">
        <v>521</v>
      </c>
      <c r="T11" s="63" t="s">
        <v>12</v>
      </c>
      <c r="U11" s="63" t="s">
        <v>12</v>
      </c>
      <c r="V11" s="63" t="s">
        <v>12</v>
      </c>
      <c r="W11" s="62" t="s">
        <v>12</v>
      </c>
      <c r="X11" s="62" t="s">
        <v>12</v>
      </c>
      <c r="Y11" s="65" t="s">
        <v>25</v>
      </c>
      <c r="Z11" s="65" t="s">
        <v>26</v>
      </c>
      <c r="AA11" s="62" t="s">
        <v>12</v>
      </c>
      <c r="AB11" s="62" t="s">
        <v>12</v>
      </c>
      <c r="AC11" s="62" t="s">
        <v>12</v>
      </c>
      <c r="AD11" s="62" t="s">
        <v>12</v>
      </c>
      <c r="AE11" s="66">
        <v>1</v>
      </c>
      <c r="AF11" s="66">
        <v>2</v>
      </c>
      <c r="AG11" s="66">
        <v>3</v>
      </c>
      <c r="AH11" s="66">
        <v>4</v>
      </c>
    </row>
    <row r="12" spans="1:34" x14ac:dyDescent="0.2">
      <c r="A12" s="74">
        <v>1</v>
      </c>
      <c r="B12" s="190" t="s">
        <v>778</v>
      </c>
      <c r="C12" s="190" t="s">
        <v>779</v>
      </c>
      <c r="D12" s="209" t="s">
        <v>789</v>
      </c>
      <c r="E12" s="76">
        <v>1</v>
      </c>
      <c r="F12" s="76" t="s">
        <v>780</v>
      </c>
      <c r="G12" s="79">
        <v>640</v>
      </c>
      <c r="H12" s="84">
        <f t="shared" ref="H12:H76" si="0">E12*G12</f>
        <v>640</v>
      </c>
      <c r="I12" s="84">
        <f t="shared" ref="I12:I76" si="1">E12*G12*0.39</f>
        <v>249.60000000000002</v>
      </c>
      <c r="J12" s="79">
        <v>110</v>
      </c>
      <c r="K12" s="84">
        <f t="shared" ref="K12:K76" si="2">J12*0.39</f>
        <v>42.9</v>
      </c>
      <c r="L12" s="79">
        <v>160</v>
      </c>
      <c r="M12" s="84">
        <f t="shared" ref="M12:M76" si="3">L12*0.39</f>
        <v>62.400000000000006</v>
      </c>
      <c r="N12" s="83">
        <v>6500</v>
      </c>
      <c r="O12" s="84">
        <f t="shared" ref="O12:O76" si="4">N12*2.205</f>
        <v>14332.5</v>
      </c>
      <c r="P12" s="84">
        <f t="shared" ref="P12:P76" si="5">SUM(E12*N12)</f>
        <v>6500</v>
      </c>
      <c r="Q12" s="84">
        <f t="shared" ref="Q12:Q76" si="6">P12*2.205</f>
        <v>14332.5</v>
      </c>
      <c r="R12" s="85">
        <f t="shared" ref="R12:R76" si="7">SUM(E12*G12*J12)/10000</f>
        <v>7.04</v>
      </c>
      <c r="S12" s="85">
        <f t="shared" ref="S12:S76" si="8">SUM(E12*G12*J12*L12)/1000000</f>
        <v>11.263999999999999</v>
      </c>
      <c r="T12" s="83" t="s">
        <v>776</v>
      </c>
      <c r="U12" s="80" t="s">
        <v>775</v>
      </c>
      <c r="V12" s="83" t="s">
        <v>776</v>
      </c>
      <c r="W12" s="81" t="s">
        <v>776</v>
      </c>
      <c r="X12" s="81" t="s">
        <v>776</v>
      </c>
      <c r="Y12" s="82"/>
      <c r="Z12" s="79"/>
      <c r="AA12" s="81" t="s">
        <v>776</v>
      </c>
      <c r="AB12" s="81" t="s">
        <v>776</v>
      </c>
      <c r="AC12" s="81"/>
      <c r="AD12" s="81"/>
      <c r="AE12" s="79"/>
      <c r="AF12" s="79"/>
      <c r="AG12" s="79"/>
      <c r="AH12" s="79"/>
    </row>
    <row r="13" spans="1:34" x14ac:dyDescent="0.2">
      <c r="A13" s="74">
        <v>2</v>
      </c>
      <c r="B13" s="190" t="s">
        <v>778</v>
      </c>
      <c r="C13" s="190" t="s">
        <v>779</v>
      </c>
      <c r="D13" s="209" t="s">
        <v>789</v>
      </c>
      <c r="E13" s="76">
        <v>1</v>
      </c>
      <c r="F13" s="76" t="s">
        <v>781</v>
      </c>
      <c r="G13" s="79">
        <v>590</v>
      </c>
      <c r="H13" s="84">
        <f t="shared" ref="H13" si="9">E13*G13</f>
        <v>590</v>
      </c>
      <c r="I13" s="84">
        <f t="shared" ref="I13" si="10">E13*G13*0.39</f>
        <v>230.1</v>
      </c>
      <c r="J13" s="79">
        <v>110</v>
      </c>
      <c r="K13" s="84">
        <f t="shared" ref="K13" si="11">J13*0.39</f>
        <v>42.9</v>
      </c>
      <c r="L13" s="79">
        <v>105</v>
      </c>
      <c r="M13" s="84">
        <f t="shared" ref="M13" si="12">L13*0.39</f>
        <v>40.950000000000003</v>
      </c>
      <c r="N13" s="83">
        <v>1700</v>
      </c>
      <c r="O13" s="84">
        <f t="shared" ref="O13" si="13">N13*2.205</f>
        <v>3748.5</v>
      </c>
      <c r="P13" s="84">
        <f t="shared" ref="P13" si="14">SUM(E13*N13)</f>
        <v>1700</v>
      </c>
      <c r="Q13" s="84">
        <f t="shared" ref="Q13" si="15">P13*2.205</f>
        <v>3748.5</v>
      </c>
      <c r="R13" s="85">
        <f t="shared" ref="R13" si="16">SUM(E13*G13*J13)/10000</f>
        <v>6.49</v>
      </c>
      <c r="S13" s="85">
        <f t="shared" ref="S13" si="17">SUM(E13*G13*J13*L13)/1000000</f>
        <v>6.8144999999999998</v>
      </c>
      <c r="T13" s="83" t="s">
        <v>776</v>
      </c>
      <c r="U13" s="80" t="s">
        <v>775</v>
      </c>
      <c r="V13" s="83" t="s">
        <v>776</v>
      </c>
      <c r="W13" s="81" t="s">
        <v>776</v>
      </c>
      <c r="X13" s="81" t="s">
        <v>776</v>
      </c>
      <c r="Y13" s="82"/>
      <c r="Z13" s="79"/>
      <c r="AA13" s="81" t="s">
        <v>776</v>
      </c>
      <c r="AB13" s="81" t="s">
        <v>776</v>
      </c>
      <c r="AC13" s="81"/>
      <c r="AD13" s="81"/>
      <c r="AE13" s="79"/>
      <c r="AF13" s="79"/>
      <c r="AG13" s="79"/>
      <c r="AH13" s="79"/>
    </row>
    <row r="14" spans="1:34" x14ac:dyDescent="0.2">
      <c r="A14" s="74">
        <v>3</v>
      </c>
      <c r="B14" s="190" t="s">
        <v>778</v>
      </c>
      <c r="C14" s="190" t="s">
        <v>779</v>
      </c>
      <c r="D14" s="209" t="s">
        <v>789</v>
      </c>
      <c r="E14" s="76">
        <v>1</v>
      </c>
      <c r="F14" s="76" t="s">
        <v>782</v>
      </c>
      <c r="G14" s="79">
        <v>560</v>
      </c>
      <c r="H14" s="84">
        <f t="shared" si="0"/>
        <v>560</v>
      </c>
      <c r="I14" s="84">
        <f t="shared" si="1"/>
        <v>218.4</v>
      </c>
      <c r="J14" s="79">
        <v>120</v>
      </c>
      <c r="K14" s="84">
        <f t="shared" si="2"/>
        <v>46.800000000000004</v>
      </c>
      <c r="L14" s="79">
        <v>65</v>
      </c>
      <c r="M14" s="84">
        <f t="shared" si="3"/>
        <v>25.35</v>
      </c>
      <c r="N14" s="83">
        <v>900</v>
      </c>
      <c r="O14" s="84">
        <f t="shared" si="4"/>
        <v>1984.5</v>
      </c>
      <c r="P14" s="84">
        <f t="shared" si="5"/>
        <v>900</v>
      </c>
      <c r="Q14" s="84">
        <f t="shared" si="6"/>
        <v>1984.5</v>
      </c>
      <c r="R14" s="85">
        <f t="shared" si="7"/>
        <v>6.72</v>
      </c>
      <c r="S14" s="85">
        <f t="shared" si="8"/>
        <v>4.3680000000000003</v>
      </c>
      <c r="T14" s="79" t="s">
        <v>776</v>
      </c>
      <c r="U14" s="79" t="s">
        <v>775</v>
      </c>
      <c r="V14" s="79" t="s">
        <v>776</v>
      </c>
      <c r="W14" s="79" t="s">
        <v>776</v>
      </c>
      <c r="X14" s="79" t="s">
        <v>776</v>
      </c>
      <c r="Y14" s="82"/>
      <c r="Z14" s="79"/>
      <c r="AA14" s="79" t="s">
        <v>776</v>
      </c>
      <c r="AB14" s="79" t="s">
        <v>776</v>
      </c>
      <c r="AC14" s="79"/>
      <c r="AD14" s="79"/>
      <c r="AE14" s="79"/>
      <c r="AF14" s="79"/>
      <c r="AG14" s="79"/>
      <c r="AH14" s="79"/>
    </row>
    <row r="15" spans="1:34" x14ac:dyDescent="0.2">
      <c r="A15" s="74">
        <v>3</v>
      </c>
      <c r="B15" s="190" t="s">
        <v>778</v>
      </c>
      <c r="C15" s="190" t="s">
        <v>779</v>
      </c>
      <c r="D15" s="209" t="s">
        <v>789</v>
      </c>
      <c r="E15" s="76">
        <v>1</v>
      </c>
      <c r="F15" s="76" t="s">
        <v>783</v>
      </c>
      <c r="G15" s="79">
        <v>610</v>
      </c>
      <c r="H15" s="84">
        <f t="shared" ref="H15" si="18">E15*G15</f>
        <v>610</v>
      </c>
      <c r="I15" s="84">
        <f t="shared" ref="I15" si="19">E15*G15*0.39</f>
        <v>237.9</v>
      </c>
      <c r="J15" s="79">
        <v>110</v>
      </c>
      <c r="K15" s="84">
        <f t="shared" ref="K15" si="20">J15*0.39</f>
        <v>42.9</v>
      </c>
      <c r="L15" s="79">
        <v>65</v>
      </c>
      <c r="M15" s="84">
        <f t="shared" ref="M15" si="21">L15*0.39</f>
        <v>25.35</v>
      </c>
      <c r="N15" s="83">
        <v>1200</v>
      </c>
      <c r="O15" s="84">
        <f t="shared" ref="O15" si="22">N15*2.205</f>
        <v>2646</v>
      </c>
      <c r="P15" s="84">
        <f t="shared" ref="P15" si="23">SUM(E15*N15)</f>
        <v>1200</v>
      </c>
      <c r="Q15" s="84">
        <f t="shared" ref="Q15" si="24">P15*2.205</f>
        <v>2646</v>
      </c>
      <c r="R15" s="85">
        <f t="shared" ref="R15" si="25">SUM(E15*G15*J15)/10000</f>
        <v>6.71</v>
      </c>
      <c r="S15" s="85">
        <f t="shared" ref="S15" si="26">SUM(E15*G15*J15*L15)/1000000</f>
        <v>4.3615000000000004</v>
      </c>
      <c r="T15" s="79" t="s">
        <v>776</v>
      </c>
      <c r="U15" s="79" t="s">
        <v>775</v>
      </c>
      <c r="V15" s="79" t="s">
        <v>776</v>
      </c>
      <c r="W15" s="79" t="s">
        <v>776</v>
      </c>
      <c r="X15" s="79" t="s">
        <v>776</v>
      </c>
      <c r="Y15" s="82"/>
      <c r="Z15" s="79"/>
      <c r="AA15" s="79" t="s">
        <v>776</v>
      </c>
      <c r="AB15" s="79" t="s">
        <v>776</v>
      </c>
      <c r="AC15" s="79"/>
      <c r="AD15" s="79"/>
      <c r="AE15" s="79"/>
      <c r="AF15" s="79"/>
      <c r="AG15" s="79"/>
      <c r="AH15" s="79"/>
    </row>
    <row r="16" spans="1:34" x14ac:dyDescent="0.2">
      <c r="A16" s="74">
        <v>5</v>
      </c>
      <c r="B16" s="190" t="s">
        <v>778</v>
      </c>
      <c r="C16" s="190" t="s">
        <v>779</v>
      </c>
      <c r="D16" s="209" t="s">
        <v>789</v>
      </c>
      <c r="E16" s="76">
        <v>1</v>
      </c>
      <c r="F16" s="76" t="s">
        <v>784</v>
      </c>
      <c r="G16" s="79">
        <v>520</v>
      </c>
      <c r="H16" s="84">
        <f t="shared" si="0"/>
        <v>520</v>
      </c>
      <c r="I16" s="84">
        <f t="shared" si="1"/>
        <v>202.8</v>
      </c>
      <c r="J16" s="79">
        <v>125</v>
      </c>
      <c r="K16" s="84">
        <f t="shared" si="2"/>
        <v>48.75</v>
      </c>
      <c r="L16" s="79">
        <v>145</v>
      </c>
      <c r="M16" s="84">
        <f t="shared" si="3"/>
        <v>56.550000000000004</v>
      </c>
      <c r="N16" s="83">
        <v>2700</v>
      </c>
      <c r="O16" s="84">
        <f t="shared" si="4"/>
        <v>5953.5</v>
      </c>
      <c r="P16" s="84">
        <f t="shared" si="5"/>
        <v>2700</v>
      </c>
      <c r="Q16" s="84">
        <f t="shared" si="6"/>
        <v>5953.5</v>
      </c>
      <c r="R16" s="85">
        <f t="shared" si="7"/>
        <v>6.5</v>
      </c>
      <c r="S16" s="85">
        <f t="shared" si="8"/>
        <v>9.4250000000000007</v>
      </c>
      <c r="T16" s="79" t="s">
        <v>776</v>
      </c>
      <c r="U16" s="79" t="s">
        <v>775</v>
      </c>
      <c r="V16" s="79" t="s">
        <v>776</v>
      </c>
      <c r="W16" s="79" t="s">
        <v>776</v>
      </c>
      <c r="X16" s="79" t="s">
        <v>776</v>
      </c>
      <c r="Y16" s="82"/>
      <c r="Z16" s="79"/>
      <c r="AA16" s="79" t="s">
        <v>776</v>
      </c>
      <c r="AB16" s="79" t="s">
        <v>776</v>
      </c>
      <c r="AC16" s="79"/>
      <c r="AD16" s="79"/>
      <c r="AE16" s="79"/>
      <c r="AF16" s="79"/>
      <c r="AG16" s="79"/>
      <c r="AH16" s="79"/>
    </row>
    <row r="17" spans="1:34" x14ac:dyDescent="0.2">
      <c r="A17" s="74">
        <v>6</v>
      </c>
      <c r="B17" s="190" t="s">
        <v>778</v>
      </c>
      <c r="C17" s="190" t="s">
        <v>779</v>
      </c>
      <c r="D17" s="209" t="s">
        <v>786</v>
      </c>
      <c r="E17" s="76">
        <v>1</v>
      </c>
      <c r="F17" s="76" t="s">
        <v>785</v>
      </c>
      <c r="G17" s="79">
        <v>630</v>
      </c>
      <c r="H17" s="84">
        <f t="shared" si="0"/>
        <v>630</v>
      </c>
      <c r="I17" s="84">
        <f t="shared" si="1"/>
        <v>245.70000000000002</v>
      </c>
      <c r="J17" s="79">
        <v>90</v>
      </c>
      <c r="K17" s="84">
        <f t="shared" si="2"/>
        <v>35.1</v>
      </c>
      <c r="L17" s="83">
        <v>50</v>
      </c>
      <c r="M17" s="84">
        <f t="shared" si="3"/>
        <v>19.5</v>
      </c>
      <c r="N17" s="83">
        <v>1700</v>
      </c>
      <c r="O17" s="84">
        <f t="shared" si="4"/>
        <v>3748.5</v>
      </c>
      <c r="P17" s="84">
        <f t="shared" si="5"/>
        <v>1700</v>
      </c>
      <c r="Q17" s="84">
        <f t="shared" si="6"/>
        <v>3748.5</v>
      </c>
      <c r="R17" s="85">
        <f t="shared" si="7"/>
        <v>5.67</v>
      </c>
      <c r="S17" s="85">
        <f t="shared" si="8"/>
        <v>2.835</v>
      </c>
      <c r="T17" s="79" t="s">
        <v>776</v>
      </c>
      <c r="U17" s="79" t="s">
        <v>775</v>
      </c>
      <c r="V17" s="79" t="s">
        <v>776</v>
      </c>
      <c r="W17" s="79" t="s">
        <v>776</v>
      </c>
      <c r="X17" s="79" t="s">
        <v>776</v>
      </c>
      <c r="Y17" s="82"/>
      <c r="Z17" s="79"/>
      <c r="AA17" s="79" t="s">
        <v>776</v>
      </c>
      <c r="AB17" s="79" t="s">
        <v>776</v>
      </c>
      <c r="AC17" s="79"/>
      <c r="AD17" s="79"/>
      <c r="AE17" s="79"/>
      <c r="AF17" s="79"/>
      <c r="AG17" s="79"/>
      <c r="AH17" s="79"/>
    </row>
    <row r="18" spans="1:34" x14ac:dyDescent="0.2">
      <c r="A18" s="74">
        <v>7</v>
      </c>
      <c r="B18" s="190" t="s">
        <v>778</v>
      </c>
      <c r="C18" s="190" t="s">
        <v>774</v>
      </c>
      <c r="D18" s="190" t="s">
        <v>778</v>
      </c>
      <c r="E18" s="76">
        <v>1</v>
      </c>
      <c r="F18" s="76" t="s">
        <v>787</v>
      </c>
      <c r="G18" s="79">
        <v>120</v>
      </c>
      <c r="H18" s="84">
        <f t="shared" si="0"/>
        <v>120</v>
      </c>
      <c r="I18" s="84">
        <f t="shared" si="1"/>
        <v>46.800000000000004</v>
      </c>
      <c r="J18" s="79">
        <v>100</v>
      </c>
      <c r="K18" s="84">
        <f t="shared" si="2"/>
        <v>39</v>
      </c>
      <c r="L18" s="83">
        <v>70</v>
      </c>
      <c r="M18" s="84">
        <f t="shared" si="3"/>
        <v>27.3</v>
      </c>
      <c r="N18" s="83">
        <v>200</v>
      </c>
      <c r="O18" s="84">
        <f t="shared" si="4"/>
        <v>441</v>
      </c>
      <c r="P18" s="84">
        <f t="shared" si="5"/>
        <v>200</v>
      </c>
      <c r="Q18" s="84">
        <f t="shared" si="6"/>
        <v>441</v>
      </c>
      <c r="R18" s="85">
        <f t="shared" si="7"/>
        <v>1.2</v>
      </c>
      <c r="S18" s="85">
        <f t="shared" si="8"/>
        <v>0.84</v>
      </c>
      <c r="T18" s="79" t="s">
        <v>775</v>
      </c>
      <c r="U18" s="79" t="s">
        <v>775</v>
      </c>
      <c r="V18" s="79" t="s">
        <v>775</v>
      </c>
      <c r="W18" s="79" t="s">
        <v>776</v>
      </c>
      <c r="X18" s="79" t="s">
        <v>776</v>
      </c>
      <c r="Y18" s="82"/>
      <c r="Z18" s="79"/>
      <c r="AA18" s="79" t="s">
        <v>776</v>
      </c>
      <c r="AB18" s="79" t="s">
        <v>776</v>
      </c>
      <c r="AC18" s="79"/>
      <c r="AD18" s="79"/>
      <c r="AE18" s="79"/>
      <c r="AF18" s="79"/>
      <c r="AG18" s="79"/>
      <c r="AH18" s="79"/>
    </row>
    <row r="19" spans="1:34" x14ac:dyDescent="0.2">
      <c r="A19" s="74">
        <v>8</v>
      </c>
      <c r="B19" s="190" t="s">
        <v>778</v>
      </c>
      <c r="C19" s="209" t="s">
        <v>779</v>
      </c>
      <c r="D19" s="209" t="s">
        <v>789</v>
      </c>
      <c r="E19" s="76">
        <v>2</v>
      </c>
      <c r="F19" s="210" t="s">
        <v>788</v>
      </c>
      <c r="G19" s="79">
        <v>150</v>
      </c>
      <c r="H19" s="84">
        <f t="shared" si="0"/>
        <v>300</v>
      </c>
      <c r="I19" s="84">
        <f t="shared" si="1"/>
        <v>117</v>
      </c>
      <c r="J19" s="79">
        <v>100</v>
      </c>
      <c r="K19" s="84">
        <f t="shared" si="2"/>
        <v>39</v>
      </c>
      <c r="L19" s="83">
        <v>100</v>
      </c>
      <c r="M19" s="84">
        <f t="shared" si="3"/>
        <v>39</v>
      </c>
      <c r="N19" s="83">
        <v>300</v>
      </c>
      <c r="O19" s="84">
        <f t="shared" si="4"/>
        <v>661.5</v>
      </c>
      <c r="P19" s="84">
        <f t="shared" si="5"/>
        <v>600</v>
      </c>
      <c r="Q19" s="84">
        <f t="shared" si="6"/>
        <v>1323</v>
      </c>
      <c r="R19" s="85">
        <f t="shared" si="7"/>
        <v>3</v>
      </c>
      <c r="S19" s="85">
        <f t="shared" si="8"/>
        <v>3</v>
      </c>
      <c r="T19" s="81" t="s">
        <v>776</v>
      </c>
      <c r="U19" s="81" t="s">
        <v>775</v>
      </c>
      <c r="V19" s="81" t="s">
        <v>775</v>
      </c>
      <c r="W19" s="81" t="s">
        <v>776</v>
      </c>
      <c r="X19" s="81" t="s">
        <v>776</v>
      </c>
      <c r="Y19" s="82"/>
      <c r="Z19" s="79"/>
      <c r="AA19" s="81" t="s">
        <v>776</v>
      </c>
      <c r="AB19" s="81" t="s">
        <v>776</v>
      </c>
      <c r="AC19" s="79"/>
      <c r="AD19" s="79"/>
      <c r="AE19" s="79"/>
      <c r="AF19" s="79"/>
      <c r="AG19" s="79"/>
      <c r="AH19" s="79"/>
    </row>
    <row r="20" spans="1:34" x14ac:dyDescent="0.2">
      <c r="A20" s="74">
        <v>9</v>
      </c>
      <c r="B20" s="190"/>
      <c r="C20" s="190"/>
      <c r="D20" s="190"/>
      <c r="E20" s="76"/>
      <c r="F20" s="76"/>
      <c r="G20" s="79"/>
      <c r="H20" s="84">
        <f t="shared" si="0"/>
        <v>0</v>
      </c>
      <c r="I20" s="84">
        <f t="shared" si="1"/>
        <v>0</v>
      </c>
      <c r="J20" s="79"/>
      <c r="K20" s="84">
        <f t="shared" si="2"/>
        <v>0</v>
      </c>
      <c r="L20" s="83"/>
      <c r="M20" s="84">
        <f t="shared" si="3"/>
        <v>0</v>
      </c>
      <c r="N20" s="83"/>
      <c r="O20" s="84">
        <f t="shared" si="4"/>
        <v>0</v>
      </c>
      <c r="P20" s="84">
        <f t="shared" si="5"/>
        <v>0</v>
      </c>
      <c r="Q20" s="84">
        <f t="shared" si="6"/>
        <v>0</v>
      </c>
      <c r="R20" s="85">
        <f t="shared" si="7"/>
        <v>0</v>
      </c>
      <c r="S20" s="85">
        <f t="shared" si="8"/>
        <v>0</v>
      </c>
      <c r="T20" s="79"/>
      <c r="U20" s="79"/>
      <c r="V20" s="79"/>
      <c r="W20" s="79"/>
      <c r="X20" s="79"/>
      <c r="Y20" s="82"/>
      <c r="Z20" s="79"/>
      <c r="AA20" s="79"/>
      <c r="AB20" s="79"/>
      <c r="AC20" s="79"/>
      <c r="AD20" s="79"/>
      <c r="AE20" s="79"/>
      <c r="AF20" s="79"/>
      <c r="AG20" s="79"/>
      <c r="AH20" s="79"/>
    </row>
    <row r="21" spans="1:34" x14ac:dyDescent="0.2">
      <c r="A21" s="74">
        <v>10</v>
      </c>
      <c r="B21" s="75"/>
      <c r="C21" s="78"/>
      <c r="D21" s="78"/>
      <c r="E21" s="76"/>
      <c r="F21" s="77"/>
      <c r="G21" s="83"/>
      <c r="H21" s="84">
        <f t="shared" si="0"/>
        <v>0</v>
      </c>
      <c r="I21" s="84">
        <f t="shared" si="1"/>
        <v>0</v>
      </c>
      <c r="J21" s="79"/>
      <c r="K21" s="84">
        <f t="shared" si="2"/>
        <v>0</v>
      </c>
      <c r="L21" s="83"/>
      <c r="M21" s="84">
        <f t="shared" si="3"/>
        <v>0</v>
      </c>
      <c r="N21" s="83"/>
      <c r="O21" s="84">
        <f t="shared" si="4"/>
        <v>0</v>
      </c>
      <c r="P21" s="84">
        <f t="shared" si="5"/>
        <v>0</v>
      </c>
      <c r="Q21" s="84">
        <f t="shared" si="6"/>
        <v>0</v>
      </c>
      <c r="R21" s="85">
        <f t="shared" si="7"/>
        <v>0</v>
      </c>
      <c r="S21" s="85">
        <f t="shared" si="8"/>
        <v>0</v>
      </c>
      <c r="T21" s="79"/>
      <c r="U21" s="79"/>
      <c r="V21" s="79"/>
      <c r="W21" s="79"/>
      <c r="X21" s="79"/>
      <c r="Y21" s="82"/>
      <c r="Z21" s="79"/>
      <c r="AA21" s="79"/>
      <c r="AB21" s="79"/>
      <c r="AC21" s="79"/>
      <c r="AD21" s="79"/>
      <c r="AE21" s="79"/>
      <c r="AF21" s="79"/>
      <c r="AG21" s="79"/>
      <c r="AH21" s="79"/>
    </row>
    <row r="22" spans="1:34" x14ac:dyDescent="0.2">
      <c r="A22" s="74">
        <v>11</v>
      </c>
      <c r="B22" s="75"/>
      <c r="C22" s="78"/>
      <c r="D22" s="78"/>
      <c r="E22" s="76"/>
      <c r="F22" s="77"/>
      <c r="G22" s="79"/>
      <c r="H22" s="84">
        <f t="shared" si="0"/>
        <v>0</v>
      </c>
      <c r="I22" s="84">
        <f t="shared" si="1"/>
        <v>0</v>
      </c>
      <c r="J22" s="79"/>
      <c r="K22" s="84">
        <f t="shared" si="2"/>
        <v>0</v>
      </c>
      <c r="L22" s="79"/>
      <c r="M22" s="84">
        <f t="shared" si="3"/>
        <v>0</v>
      </c>
      <c r="N22" s="79"/>
      <c r="O22" s="84">
        <f t="shared" si="4"/>
        <v>0</v>
      </c>
      <c r="P22" s="84">
        <f t="shared" si="5"/>
        <v>0</v>
      </c>
      <c r="Q22" s="84">
        <f t="shared" si="6"/>
        <v>0</v>
      </c>
      <c r="R22" s="85">
        <f t="shared" si="7"/>
        <v>0</v>
      </c>
      <c r="S22" s="85">
        <f t="shared" si="8"/>
        <v>0</v>
      </c>
      <c r="T22" s="79"/>
      <c r="U22" s="79"/>
      <c r="V22" s="79"/>
      <c r="W22" s="79"/>
      <c r="X22" s="79"/>
      <c r="Y22" s="82"/>
      <c r="Z22" s="79"/>
      <c r="AA22" s="79"/>
      <c r="AB22" s="79"/>
      <c r="AC22" s="79"/>
      <c r="AD22" s="79"/>
      <c r="AE22" s="79"/>
      <c r="AF22" s="79"/>
      <c r="AG22" s="79"/>
      <c r="AH22" s="79"/>
    </row>
    <row r="23" spans="1:34" x14ac:dyDescent="0.2">
      <c r="A23" s="74">
        <v>12</v>
      </c>
      <c r="B23" s="75"/>
      <c r="C23" s="78"/>
      <c r="D23" s="78"/>
      <c r="E23" s="76"/>
      <c r="F23" s="77"/>
      <c r="G23" s="79"/>
      <c r="H23" s="84">
        <f t="shared" si="0"/>
        <v>0</v>
      </c>
      <c r="I23" s="84">
        <f t="shared" si="1"/>
        <v>0</v>
      </c>
      <c r="J23" s="79"/>
      <c r="K23" s="84">
        <f t="shared" si="2"/>
        <v>0</v>
      </c>
      <c r="L23" s="79"/>
      <c r="M23" s="84">
        <f t="shared" si="3"/>
        <v>0</v>
      </c>
      <c r="N23" s="79"/>
      <c r="O23" s="84">
        <f t="shared" si="4"/>
        <v>0</v>
      </c>
      <c r="P23" s="84">
        <f t="shared" si="5"/>
        <v>0</v>
      </c>
      <c r="Q23" s="84">
        <f t="shared" si="6"/>
        <v>0</v>
      </c>
      <c r="R23" s="85">
        <f t="shared" si="7"/>
        <v>0</v>
      </c>
      <c r="S23" s="85">
        <f t="shared" si="8"/>
        <v>0</v>
      </c>
      <c r="T23" s="79"/>
      <c r="U23" s="79"/>
      <c r="V23" s="79"/>
      <c r="W23" s="79"/>
      <c r="X23" s="79"/>
      <c r="Y23" s="82"/>
      <c r="Z23" s="79"/>
      <c r="AA23" s="79"/>
      <c r="AB23" s="79"/>
      <c r="AC23" s="79"/>
      <c r="AD23" s="79"/>
      <c r="AE23" s="79"/>
      <c r="AF23" s="79"/>
      <c r="AG23" s="79"/>
      <c r="AH23" s="79"/>
    </row>
    <row r="24" spans="1:34" x14ac:dyDescent="0.2">
      <c r="A24" s="74">
        <v>13</v>
      </c>
      <c r="B24" s="75"/>
      <c r="C24" s="78"/>
      <c r="D24" s="78"/>
      <c r="E24" s="76"/>
      <c r="F24" s="77"/>
      <c r="G24" s="79"/>
      <c r="H24" s="84">
        <f t="shared" si="0"/>
        <v>0</v>
      </c>
      <c r="I24" s="84">
        <f t="shared" si="1"/>
        <v>0</v>
      </c>
      <c r="J24" s="79"/>
      <c r="K24" s="84">
        <f t="shared" si="2"/>
        <v>0</v>
      </c>
      <c r="L24" s="79"/>
      <c r="M24" s="84">
        <f t="shared" si="3"/>
        <v>0</v>
      </c>
      <c r="N24" s="79"/>
      <c r="O24" s="84">
        <f t="shared" si="4"/>
        <v>0</v>
      </c>
      <c r="P24" s="84">
        <f t="shared" si="5"/>
        <v>0</v>
      </c>
      <c r="Q24" s="84">
        <f t="shared" si="6"/>
        <v>0</v>
      </c>
      <c r="R24" s="85">
        <f t="shared" si="7"/>
        <v>0</v>
      </c>
      <c r="S24" s="85">
        <f t="shared" si="8"/>
        <v>0</v>
      </c>
      <c r="T24" s="79"/>
      <c r="U24" s="79"/>
      <c r="V24" s="79"/>
      <c r="W24" s="79"/>
      <c r="X24" s="79"/>
      <c r="Y24" s="82"/>
      <c r="Z24" s="79"/>
      <c r="AA24" s="79"/>
      <c r="AB24" s="79"/>
      <c r="AC24" s="79"/>
      <c r="AD24" s="79"/>
      <c r="AE24" s="79"/>
      <c r="AF24" s="79"/>
      <c r="AG24" s="79"/>
      <c r="AH24" s="79"/>
    </row>
    <row r="25" spans="1:34" x14ac:dyDescent="0.2">
      <c r="A25" s="74">
        <v>14</v>
      </c>
      <c r="B25" s="75"/>
      <c r="C25" s="78"/>
      <c r="D25" s="78"/>
      <c r="E25" s="76"/>
      <c r="F25" s="77"/>
      <c r="G25" s="79"/>
      <c r="H25" s="84">
        <f t="shared" si="0"/>
        <v>0</v>
      </c>
      <c r="I25" s="84">
        <f t="shared" si="1"/>
        <v>0</v>
      </c>
      <c r="J25" s="79"/>
      <c r="K25" s="84">
        <f t="shared" si="2"/>
        <v>0</v>
      </c>
      <c r="L25" s="79"/>
      <c r="M25" s="84">
        <f t="shared" si="3"/>
        <v>0</v>
      </c>
      <c r="N25" s="79"/>
      <c r="O25" s="84">
        <f t="shared" si="4"/>
        <v>0</v>
      </c>
      <c r="P25" s="84">
        <f t="shared" si="5"/>
        <v>0</v>
      </c>
      <c r="Q25" s="84">
        <f t="shared" si="6"/>
        <v>0</v>
      </c>
      <c r="R25" s="85">
        <f t="shared" si="7"/>
        <v>0</v>
      </c>
      <c r="S25" s="85">
        <f t="shared" si="8"/>
        <v>0</v>
      </c>
      <c r="T25" s="79"/>
      <c r="U25" s="79"/>
      <c r="V25" s="79"/>
      <c r="W25" s="79"/>
      <c r="X25" s="79"/>
      <c r="Y25" s="82"/>
      <c r="Z25" s="79"/>
      <c r="AA25" s="79"/>
      <c r="AB25" s="79"/>
      <c r="AC25" s="79"/>
      <c r="AD25" s="79"/>
      <c r="AE25" s="79"/>
      <c r="AF25" s="79"/>
      <c r="AG25" s="79"/>
      <c r="AH25" s="79"/>
    </row>
    <row r="26" spans="1:34" x14ac:dyDescent="0.2">
      <c r="A26" s="74">
        <v>15</v>
      </c>
      <c r="B26" s="75"/>
      <c r="C26" s="78"/>
      <c r="D26" s="78"/>
      <c r="E26" s="76"/>
      <c r="F26" s="77"/>
      <c r="G26" s="79"/>
      <c r="H26" s="84">
        <f t="shared" si="0"/>
        <v>0</v>
      </c>
      <c r="I26" s="84">
        <f t="shared" si="1"/>
        <v>0</v>
      </c>
      <c r="J26" s="79"/>
      <c r="K26" s="84">
        <f t="shared" si="2"/>
        <v>0</v>
      </c>
      <c r="L26" s="79"/>
      <c r="M26" s="84">
        <f t="shared" si="3"/>
        <v>0</v>
      </c>
      <c r="N26" s="79"/>
      <c r="O26" s="84">
        <f t="shared" si="4"/>
        <v>0</v>
      </c>
      <c r="P26" s="84">
        <f t="shared" si="5"/>
        <v>0</v>
      </c>
      <c r="Q26" s="84">
        <f t="shared" si="6"/>
        <v>0</v>
      </c>
      <c r="R26" s="85">
        <f t="shared" si="7"/>
        <v>0</v>
      </c>
      <c r="S26" s="85">
        <f t="shared" si="8"/>
        <v>0</v>
      </c>
      <c r="T26" s="79"/>
      <c r="U26" s="79"/>
      <c r="V26" s="79"/>
      <c r="W26" s="79"/>
      <c r="X26" s="79"/>
      <c r="Y26" s="82"/>
      <c r="Z26" s="79"/>
      <c r="AA26" s="79"/>
      <c r="AB26" s="79"/>
      <c r="AC26" s="79"/>
      <c r="AD26" s="79"/>
      <c r="AE26" s="79"/>
      <c r="AF26" s="79"/>
      <c r="AG26" s="79"/>
      <c r="AH26" s="79"/>
    </row>
    <row r="27" spans="1:34" x14ac:dyDescent="0.2">
      <c r="A27" s="74">
        <v>16</v>
      </c>
      <c r="B27" s="75"/>
      <c r="C27" s="78"/>
      <c r="D27" s="78"/>
      <c r="E27" s="76"/>
      <c r="F27" s="77"/>
      <c r="G27" s="79"/>
      <c r="H27" s="84">
        <f t="shared" si="0"/>
        <v>0</v>
      </c>
      <c r="I27" s="84">
        <f t="shared" si="1"/>
        <v>0</v>
      </c>
      <c r="J27" s="79"/>
      <c r="K27" s="84">
        <f t="shared" si="2"/>
        <v>0</v>
      </c>
      <c r="L27" s="79"/>
      <c r="M27" s="84">
        <f t="shared" si="3"/>
        <v>0</v>
      </c>
      <c r="N27" s="79"/>
      <c r="O27" s="84">
        <f t="shared" si="4"/>
        <v>0</v>
      </c>
      <c r="P27" s="84">
        <f t="shared" si="5"/>
        <v>0</v>
      </c>
      <c r="Q27" s="84">
        <f t="shared" si="6"/>
        <v>0</v>
      </c>
      <c r="R27" s="85">
        <f t="shared" si="7"/>
        <v>0</v>
      </c>
      <c r="S27" s="85">
        <f t="shared" si="8"/>
        <v>0</v>
      </c>
      <c r="T27" s="79"/>
      <c r="U27" s="79"/>
      <c r="V27" s="79"/>
      <c r="W27" s="79"/>
      <c r="X27" s="79"/>
      <c r="Y27" s="82"/>
      <c r="Z27" s="79"/>
      <c r="AA27" s="79"/>
      <c r="AB27" s="79"/>
      <c r="AC27" s="79"/>
      <c r="AD27" s="79"/>
      <c r="AE27" s="79"/>
      <c r="AF27" s="79"/>
      <c r="AG27" s="79"/>
      <c r="AH27" s="79"/>
    </row>
    <row r="28" spans="1:34" x14ac:dyDescent="0.2">
      <c r="A28" s="74">
        <v>17</v>
      </c>
      <c r="B28" s="75"/>
      <c r="C28" s="78"/>
      <c r="D28" s="78"/>
      <c r="E28" s="76"/>
      <c r="F28" s="77"/>
      <c r="G28" s="79"/>
      <c r="H28" s="84">
        <f t="shared" si="0"/>
        <v>0</v>
      </c>
      <c r="I28" s="84">
        <f t="shared" si="1"/>
        <v>0</v>
      </c>
      <c r="J28" s="79"/>
      <c r="K28" s="84">
        <f t="shared" si="2"/>
        <v>0</v>
      </c>
      <c r="L28" s="79"/>
      <c r="M28" s="84">
        <f t="shared" si="3"/>
        <v>0</v>
      </c>
      <c r="N28" s="79"/>
      <c r="O28" s="84">
        <f t="shared" si="4"/>
        <v>0</v>
      </c>
      <c r="P28" s="84">
        <f t="shared" si="5"/>
        <v>0</v>
      </c>
      <c r="Q28" s="84">
        <f t="shared" si="6"/>
        <v>0</v>
      </c>
      <c r="R28" s="85">
        <f t="shared" si="7"/>
        <v>0</v>
      </c>
      <c r="S28" s="85">
        <f t="shared" si="8"/>
        <v>0</v>
      </c>
      <c r="T28" s="79"/>
      <c r="U28" s="79"/>
      <c r="V28" s="79"/>
      <c r="W28" s="79"/>
      <c r="X28" s="79"/>
      <c r="Y28" s="82"/>
      <c r="Z28" s="79"/>
      <c r="AA28" s="79"/>
      <c r="AB28" s="79"/>
      <c r="AC28" s="79"/>
      <c r="AD28" s="79"/>
      <c r="AE28" s="79"/>
      <c r="AF28" s="79"/>
      <c r="AG28" s="79"/>
      <c r="AH28" s="79"/>
    </row>
    <row r="29" spans="1:34" x14ac:dyDescent="0.2">
      <c r="A29" s="74">
        <v>18</v>
      </c>
      <c r="B29" s="75"/>
      <c r="C29" s="78"/>
      <c r="D29" s="78"/>
      <c r="E29" s="76"/>
      <c r="F29" s="77"/>
      <c r="G29" s="79"/>
      <c r="H29" s="84">
        <f t="shared" si="0"/>
        <v>0</v>
      </c>
      <c r="I29" s="84">
        <f t="shared" si="1"/>
        <v>0</v>
      </c>
      <c r="J29" s="79"/>
      <c r="K29" s="84">
        <f t="shared" si="2"/>
        <v>0</v>
      </c>
      <c r="L29" s="79"/>
      <c r="M29" s="84">
        <f t="shared" si="3"/>
        <v>0</v>
      </c>
      <c r="N29" s="79"/>
      <c r="O29" s="84">
        <f t="shared" si="4"/>
        <v>0</v>
      </c>
      <c r="P29" s="84">
        <f t="shared" si="5"/>
        <v>0</v>
      </c>
      <c r="Q29" s="84">
        <f t="shared" si="6"/>
        <v>0</v>
      </c>
      <c r="R29" s="85">
        <f t="shared" si="7"/>
        <v>0</v>
      </c>
      <c r="S29" s="85">
        <f t="shared" si="8"/>
        <v>0</v>
      </c>
      <c r="T29" s="79"/>
      <c r="U29" s="79"/>
      <c r="V29" s="79"/>
      <c r="W29" s="79"/>
      <c r="X29" s="79"/>
      <c r="Y29" s="82"/>
      <c r="Z29" s="79"/>
      <c r="AA29" s="79"/>
      <c r="AB29" s="79"/>
      <c r="AC29" s="79"/>
      <c r="AD29" s="79"/>
      <c r="AE29" s="79"/>
      <c r="AF29" s="79"/>
      <c r="AG29" s="79"/>
      <c r="AH29" s="79"/>
    </row>
    <row r="30" spans="1:34" x14ac:dyDescent="0.2">
      <c r="A30" s="74">
        <v>19</v>
      </c>
      <c r="B30" s="75"/>
      <c r="C30" s="78"/>
      <c r="D30" s="78"/>
      <c r="E30" s="76"/>
      <c r="F30" s="77"/>
      <c r="G30" s="83"/>
      <c r="H30" s="84">
        <f t="shared" si="0"/>
        <v>0</v>
      </c>
      <c r="I30" s="84">
        <f t="shared" si="1"/>
        <v>0</v>
      </c>
      <c r="J30" s="79"/>
      <c r="K30" s="84">
        <f t="shared" si="2"/>
        <v>0</v>
      </c>
      <c r="L30" s="79"/>
      <c r="M30" s="84">
        <f t="shared" si="3"/>
        <v>0</v>
      </c>
      <c r="N30" s="79"/>
      <c r="O30" s="84">
        <f t="shared" si="4"/>
        <v>0</v>
      </c>
      <c r="P30" s="84">
        <f t="shared" si="5"/>
        <v>0</v>
      </c>
      <c r="Q30" s="84">
        <f t="shared" si="6"/>
        <v>0</v>
      </c>
      <c r="R30" s="85">
        <f t="shared" si="7"/>
        <v>0</v>
      </c>
      <c r="S30" s="85">
        <f t="shared" si="8"/>
        <v>0</v>
      </c>
      <c r="T30" s="79"/>
      <c r="U30" s="79"/>
      <c r="V30" s="79"/>
      <c r="W30" s="79"/>
      <c r="X30" s="79"/>
      <c r="Y30" s="82"/>
      <c r="Z30" s="79"/>
      <c r="AA30" s="79"/>
      <c r="AB30" s="79"/>
      <c r="AC30" s="79"/>
      <c r="AD30" s="79"/>
      <c r="AE30" s="79"/>
      <c r="AF30" s="79"/>
      <c r="AG30" s="79"/>
      <c r="AH30" s="79"/>
    </row>
    <row r="31" spans="1:34" x14ac:dyDescent="0.2">
      <c r="A31" s="74">
        <v>20</v>
      </c>
      <c r="B31" s="75"/>
      <c r="C31" s="78"/>
      <c r="D31" s="78"/>
      <c r="E31" s="76"/>
      <c r="F31" s="77"/>
      <c r="G31" s="79"/>
      <c r="H31" s="84">
        <f t="shared" si="0"/>
        <v>0</v>
      </c>
      <c r="I31" s="84">
        <f t="shared" si="1"/>
        <v>0</v>
      </c>
      <c r="J31" s="79"/>
      <c r="K31" s="84">
        <f t="shared" si="2"/>
        <v>0</v>
      </c>
      <c r="L31" s="79"/>
      <c r="M31" s="84">
        <f t="shared" si="3"/>
        <v>0</v>
      </c>
      <c r="N31" s="79"/>
      <c r="O31" s="84">
        <f t="shared" si="4"/>
        <v>0</v>
      </c>
      <c r="P31" s="84">
        <f t="shared" si="5"/>
        <v>0</v>
      </c>
      <c r="Q31" s="84">
        <f t="shared" si="6"/>
        <v>0</v>
      </c>
      <c r="R31" s="85">
        <f t="shared" si="7"/>
        <v>0</v>
      </c>
      <c r="S31" s="85">
        <f t="shared" si="8"/>
        <v>0</v>
      </c>
      <c r="T31" s="79"/>
      <c r="U31" s="79"/>
      <c r="V31" s="79"/>
      <c r="W31" s="79"/>
      <c r="X31" s="79"/>
      <c r="Y31" s="82"/>
      <c r="Z31" s="79"/>
      <c r="AA31" s="79"/>
      <c r="AB31" s="79"/>
      <c r="AC31" s="79"/>
      <c r="AD31" s="79"/>
      <c r="AE31" s="79"/>
      <c r="AF31" s="79"/>
      <c r="AG31" s="79"/>
      <c r="AH31" s="79"/>
    </row>
    <row r="32" spans="1:34" x14ac:dyDescent="0.2">
      <c r="A32" s="74">
        <v>21</v>
      </c>
      <c r="B32" s="75"/>
      <c r="C32" s="78"/>
      <c r="D32" s="78"/>
      <c r="E32" s="76"/>
      <c r="F32" s="77"/>
      <c r="G32" s="79"/>
      <c r="H32" s="84">
        <f t="shared" si="0"/>
        <v>0</v>
      </c>
      <c r="I32" s="84">
        <f t="shared" si="1"/>
        <v>0</v>
      </c>
      <c r="J32" s="79"/>
      <c r="K32" s="84">
        <f t="shared" si="2"/>
        <v>0</v>
      </c>
      <c r="L32" s="79"/>
      <c r="M32" s="84">
        <f t="shared" si="3"/>
        <v>0</v>
      </c>
      <c r="N32" s="79"/>
      <c r="O32" s="84">
        <f t="shared" si="4"/>
        <v>0</v>
      </c>
      <c r="P32" s="84">
        <f t="shared" si="5"/>
        <v>0</v>
      </c>
      <c r="Q32" s="84">
        <f t="shared" si="6"/>
        <v>0</v>
      </c>
      <c r="R32" s="85">
        <f t="shared" si="7"/>
        <v>0</v>
      </c>
      <c r="S32" s="85">
        <f t="shared" si="8"/>
        <v>0</v>
      </c>
      <c r="T32" s="79"/>
      <c r="U32" s="79"/>
      <c r="V32" s="79"/>
      <c r="W32" s="79"/>
      <c r="X32" s="79"/>
      <c r="Y32" s="82"/>
      <c r="Z32" s="79"/>
      <c r="AA32" s="79"/>
      <c r="AB32" s="79"/>
      <c r="AC32" s="79"/>
      <c r="AD32" s="79"/>
      <c r="AE32" s="79"/>
      <c r="AF32" s="79"/>
      <c r="AG32" s="79"/>
      <c r="AH32" s="79"/>
    </row>
    <row r="33" spans="1:34" x14ac:dyDescent="0.2">
      <c r="A33" s="74">
        <v>22</v>
      </c>
      <c r="B33" s="75"/>
      <c r="C33" s="78"/>
      <c r="D33" s="78"/>
      <c r="E33" s="76"/>
      <c r="F33" s="77"/>
      <c r="G33" s="79"/>
      <c r="H33" s="84">
        <f t="shared" si="0"/>
        <v>0</v>
      </c>
      <c r="I33" s="84">
        <f t="shared" si="1"/>
        <v>0</v>
      </c>
      <c r="J33" s="79"/>
      <c r="K33" s="84">
        <f t="shared" si="2"/>
        <v>0</v>
      </c>
      <c r="L33" s="79"/>
      <c r="M33" s="84">
        <f t="shared" si="3"/>
        <v>0</v>
      </c>
      <c r="N33" s="79"/>
      <c r="O33" s="84">
        <f t="shared" si="4"/>
        <v>0</v>
      </c>
      <c r="P33" s="84">
        <f t="shared" si="5"/>
        <v>0</v>
      </c>
      <c r="Q33" s="84">
        <f t="shared" si="6"/>
        <v>0</v>
      </c>
      <c r="R33" s="85">
        <f t="shared" si="7"/>
        <v>0</v>
      </c>
      <c r="S33" s="85">
        <f t="shared" si="8"/>
        <v>0</v>
      </c>
      <c r="T33" s="79"/>
      <c r="U33" s="79"/>
      <c r="V33" s="79"/>
      <c r="W33" s="79"/>
      <c r="X33" s="79"/>
      <c r="Y33" s="82"/>
      <c r="Z33" s="79"/>
      <c r="AA33" s="79"/>
      <c r="AB33" s="79"/>
      <c r="AC33" s="79"/>
      <c r="AD33" s="79"/>
      <c r="AE33" s="79"/>
      <c r="AF33" s="79"/>
      <c r="AG33" s="79"/>
      <c r="AH33" s="79"/>
    </row>
    <row r="34" spans="1:34" x14ac:dyDescent="0.2">
      <c r="A34" s="74">
        <v>23</v>
      </c>
      <c r="B34" s="75"/>
      <c r="C34" s="78"/>
      <c r="D34" s="78"/>
      <c r="E34" s="76"/>
      <c r="F34" s="77"/>
      <c r="G34" s="79"/>
      <c r="H34" s="84">
        <f t="shared" si="0"/>
        <v>0</v>
      </c>
      <c r="I34" s="84">
        <f t="shared" si="1"/>
        <v>0</v>
      </c>
      <c r="J34" s="79"/>
      <c r="K34" s="84">
        <f t="shared" si="2"/>
        <v>0</v>
      </c>
      <c r="L34" s="79"/>
      <c r="M34" s="84">
        <f t="shared" si="3"/>
        <v>0</v>
      </c>
      <c r="N34" s="79"/>
      <c r="O34" s="84">
        <f t="shared" si="4"/>
        <v>0</v>
      </c>
      <c r="P34" s="84">
        <f t="shared" si="5"/>
        <v>0</v>
      </c>
      <c r="Q34" s="84">
        <f t="shared" si="6"/>
        <v>0</v>
      </c>
      <c r="R34" s="85">
        <f t="shared" si="7"/>
        <v>0</v>
      </c>
      <c r="S34" s="85">
        <f t="shared" si="8"/>
        <v>0</v>
      </c>
      <c r="T34" s="79"/>
      <c r="U34" s="79"/>
      <c r="V34" s="79"/>
      <c r="W34" s="79"/>
      <c r="X34" s="79"/>
      <c r="Y34" s="82"/>
      <c r="Z34" s="79"/>
      <c r="AA34" s="79"/>
      <c r="AB34" s="79"/>
      <c r="AC34" s="79"/>
      <c r="AD34" s="79"/>
      <c r="AE34" s="79"/>
      <c r="AF34" s="79"/>
      <c r="AG34" s="79"/>
      <c r="AH34" s="79"/>
    </row>
    <row r="35" spans="1:34" x14ac:dyDescent="0.2">
      <c r="A35" s="74">
        <v>24</v>
      </c>
      <c r="B35" s="75"/>
      <c r="C35" s="78"/>
      <c r="D35" s="78"/>
      <c r="E35" s="76"/>
      <c r="F35" s="77"/>
      <c r="G35" s="79"/>
      <c r="H35" s="84">
        <f t="shared" si="0"/>
        <v>0</v>
      </c>
      <c r="I35" s="84">
        <f t="shared" si="1"/>
        <v>0</v>
      </c>
      <c r="J35" s="79"/>
      <c r="K35" s="84">
        <f t="shared" si="2"/>
        <v>0</v>
      </c>
      <c r="L35" s="79"/>
      <c r="M35" s="84">
        <f t="shared" si="3"/>
        <v>0</v>
      </c>
      <c r="N35" s="79"/>
      <c r="O35" s="84">
        <f t="shared" si="4"/>
        <v>0</v>
      </c>
      <c r="P35" s="84">
        <f t="shared" si="5"/>
        <v>0</v>
      </c>
      <c r="Q35" s="84">
        <f t="shared" si="6"/>
        <v>0</v>
      </c>
      <c r="R35" s="85">
        <f t="shared" si="7"/>
        <v>0</v>
      </c>
      <c r="S35" s="85">
        <f t="shared" si="8"/>
        <v>0</v>
      </c>
      <c r="T35" s="79"/>
      <c r="U35" s="79"/>
      <c r="V35" s="79"/>
      <c r="W35" s="79"/>
      <c r="X35" s="79"/>
      <c r="Y35" s="82"/>
      <c r="Z35" s="79"/>
      <c r="AA35" s="79"/>
      <c r="AB35" s="79"/>
      <c r="AC35" s="79"/>
      <c r="AD35" s="79"/>
      <c r="AE35" s="79"/>
      <c r="AF35" s="79"/>
      <c r="AG35" s="79"/>
      <c r="AH35" s="79"/>
    </row>
    <row r="36" spans="1:34" x14ac:dyDescent="0.2">
      <c r="A36" s="74">
        <v>25</v>
      </c>
      <c r="B36" s="75"/>
      <c r="C36" s="78"/>
      <c r="D36" s="78"/>
      <c r="E36" s="76"/>
      <c r="F36" s="77"/>
      <c r="G36" s="79"/>
      <c r="H36" s="84">
        <f t="shared" si="0"/>
        <v>0</v>
      </c>
      <c r="I36" s="84">
        <f t="shared" si="1"/>
        <v>0</v>
      </c>
      <c r="J36" s="79"/>
      <c r="K36" s="84">
        <f t="shared" si="2"/>
        <v>0</v>
      </c>
      <c r="L36" s="79"/>
      <c r="M36" s="84">
        <f t="shared" si="3"/>
        <v>0</v>
      </c>
      <c r="N36" s="79"/>
      <c r="O36" s="84">
        <f t="shared" si="4"/>
        <v>0</v>
      </c>
      <c r="P36" s="84">
        <f t="shared" si="5"/>
        <v>0</v>
      </c>
      <c r="Q36" s="84">
        <f t="shared" si="6"/>
        <v>0</v>
      </c>
      <c r="R36" s="85">
        <f t="shared" si="7"/>
        <v>0</v>
      </c>
      <c r="S36" s="85">
        <f t="shared" si="8"/>
        <v>0</v>
      </c>
      <c r="T36" s="79"/>
      <c r="U36" s="79"/>
      <c r="V36" s="79"/>
      <c r="W36" s="79"/>
      <c r="X36" s="79"/>
      <c r="Y36" s="82"/>
      <c r="Z36" s="79"/>
      <c r="AA36" s="79"/>
      <c r="AB36" s="79"/>
      <c r="AC36" s="79"/>
      <c r="AD36" s="79"/>
      <c r="AE36" s="79"/>
      <c r="AF36" s="79"/>
      <c r="AG36" s="79"/>
      <c r="AH36" s="79"/>
    </row>
    <row r="37" spans="1:34" x14ac:dyDescent="0.2">
      <c r="A37" s="74">
        <v>26</v>
      </c>
      <c r="B37" s="75"/>
      <c r="C37" s="78"/>
      <c r="D37" s="78"/>
      <c r="E37" s="76"/>
      <c r="F37" s="77"/>
      <c r="G37" s="79"/>
      <c r="H37" s="84">
        <f t="shared" si="0"/>
        <v>0</v>
      </c>
      <c r="I37" s="84">
        <f t="shared" si="1"/>
        <v>0</v>
      </c>
      <c r="J37" s="79"/>
      <c r="K37" s="84">
        <f t="shared" si="2"/>
        <v>0</v>
      </c>
      <c r="L37" s="79"/>
      <c r="M37" s="84">
        <f t="shared" si="3"/>
        <v>0</v>
      </c>
      <c r="N37" s="79"/>
      <c r="O37" s="84">
        <f t="shared" si="4"/>
        <v>0</v>
      </c>
      <c r="P37" s="84">
        <f t="shared" si="5"/>
        <v>0</v>
      </c>
      <c r="Q37" s="84">
        <f t="shared" si="6"/>
        <v>0</v>
      </c>
      <c r="R37" s="85">
        <f t="shared" si="7"/>
        <v>0</v>
      </c>
      <c r="S37" s="85">
        <f t="shared" si="8"/>
        <v>0</v>
      </c>
      <c r="T37" s="79"/>
      <c r="U37" s="79"/>
      <c r="V37" s="79"/>
      <c r="W37" s="79"/>
      <c r="X37" s="79"/>
      <c r="Y37" s="82"/>
      <c r="Z37" s="79"/>
      <c r="AA37" s="79"/>
      <c r="AB37" s="79"/>
      <c r="AC37" s="79"/>
      <c r="AD37" s="79"/>
      <c r="AE37" s="79"/>
      <c r="AF37" s="79"/>
      <c r="AG37" s="79"/>
      <c r="AH37" s="79"/>
    </row>
    <row r="38" spans="1:34" x14ac:dyDescent="0.2">
      <c r="A38" s="74">
        <v>27</v>
      </c>
      <c r="B38" s="75"/>
      <c r="C38" s="78"/>
      <c r="D38" s="78"/>
      <c r="E38" s="76"/>
      <c r="F38" s="77"/>
      <c r="G38" s="79"/>
      <c r="H38" s="84">
        <f t="shared" si="0"/>
        <v>0</v>
      </c>
      <c r="I38" s="84">
        <f t="shared" si="1"/>
        <v>0</v>
      </c>
      <c r="J38" s="79"/>
      <c r="K38" s="84">
        <f t="shared" si="2"/>
        <v>0</v>
      </c>
      <c r="L38" s="79"/>
      <c r="M38" s="84">
        <f t="shared" si="3"/>
        <v>0</v>
      </c>
      <c r="N38" s="79"/>
      <c r="O38" s="84">
        <f t="shared" si="4"/>
        <v>0</v>
      </c>
      <c r="P38" s="84">
        <f t="shared" si="5"/>
        <v>0</v>
      </c>
      <c r="Q38" s="84">
        <f t="shared" si="6"/>
        <v>0</v>
      </c>
      <c r="R38" s="85">
        <f t="shared" si="7"/>
        <v>0</v>
      </c>
      <c r="S38" s="85">
        <f t="shared" si="8"/>
        <v>0</v>
      </c>
      <c r="T38" s="79"/>
      <c r="U38" s="79"/>
      <c r="V38" s="79"/>
      <c r="W38" s="79"/>
      <c r="X38" s="79"/>
      <c r="Y38" s="82"/>
      <c r="Z38" s="79"/>
      <c r="AA38" s="79"/>
      <c r="AB38" s="79"/>
      <c r="AC38" s="79"/>
      <c r="AD38" s="79"/>
      <c r="AE38" s="79"/>
      <c r="AF38" s="79"/>
      <c r="AG38" s="79"/>
      <c r="AH38" s="79"/>
    </row>
    <row r="39" spans="1:34" x14ac:dyDescent="0.2">
      <c r="A39" s="74">
        <v>28</v>
      </c>
      <c r="B39" s="75"/>
      <c r="C39" s="78"/>
      <c r="D39" s="78"/>
      <c r="E39" s="76"/>
      <c r="F39" s="77"/>
      <c r="G39" s="83"/>
      <c r="H39" s="84">
        <f t="shared" si="0"/>
        <v>0</v>
      </c>
      <c r="I39" s="84">
        <f t="shared" si="1"/>
        <v>0</v>
      </c>
      <c r="J39" s="79"/>
      <c r="K39" s="84">
        <f t="shared" si="2"/>
        <v>0</v>
      </c>
      <c r="L39" s="79"/>
      <c r="M39" s="84">
        <f t="shared" si="3"/>
        <v>0</v>
      </c>
      <c r="N39" s="79"/>
      <c r="O39" s="84">
        <f t="shared" si="4"/>
        <v>0</v>
      </c>
      <c r="P39" s="84">
        <f t="shared" si="5"/>
        <v>0</v>
      </c>
      <c r="Q39" s="84">
        <f t="shared" si="6"/>
        <v>0</v>
      </c>
      <c r="R39" s="85">
        <f t="shared" si="7"/>
        <v>0</v>
      </c>
      <c r="S39" s="85">
        <f t="shared" si="8"/>
        <v>0</v>
      </c>
      <c r="T39" s="79"/>
      <c r="U39" s="79"/>
      <c r="V39" s="79"/>
      <c r="W39" s="79"/>
      <c r="X39" s="79"/>
      <c r="Y39" s="82"/>
      <c r="Z39" s="79"/>
      <c r="AA39" s="79"/>
      <c r="AB39" s="79"/>
      <c r="AC39" s="79"/>
      <c r="AD39" s="79"/>
      <c r="AE39" s="79"/>
      <c r="AF39" s="79"/>
      <c r="AG39" s="79"/>
      <c r="AH39" s="79"/>
    </row>
    <row r="40" spans="1:34" x14ac:dyDescent="0.2">
      <c r="A40" s="74">
        <v>29</v>
      </c>
      <c r="B40" s="75"/>
      <c r="C40" s="78"/>
      <c r="D40" s="78"/>
      <c r="E40" s="76"/>
      <c r="F40" s="77"/>
      <c r="G40" s="79"/>
      <c r="H40" s="84">
        <f t="shared" si="0"/>
        <v>0</v>
      </c>
      <c r="I40" s="84">
        <f t="shared" si="1"/>
        <v>0</v>
      </c>
      <c r="J40" s="79"/>
      <c r="K40" s="84">
        <f t="shared" si="2"/>
        <v>0</v>
      </c>
      <c r="L40" s="79"/>
      <c r="M40" s="84">
        <f t="shared" si="3"/>
        <v>0</v>
      </c>
      <c r="N40" s="79"/>
      <c r="O40" s="84">
        <f t="shared" si="4"/>
        <v>0</v>
      </c>
      <c r="P40" s="84">
        <f t="shared" si="5"/>
        <v>0</v>
      </c>
      <c r="Q40" s="84">
        <f t="shared" si="6"/>
        <v>0</v>
      </c>
      <c r="R40" s="85">
        <f t="shared" si="7"/>
        <v>0</v>
      </c>
      <c r="S40" s="85">
        <f t="shared" si="8"/>
        <v>0</v>
      </c>
      <c r="T40" s="79"/>
      <c r="U40" s="79"/>
      <c r="V40" s="79"/>
      <c r="W40" s="79"/>
      <c r="X40" s="79"/>
      <c r="Y40" s="82"/>
      <c r="Z40" s="79"/>
      <c r="AA40" s="79"/>
      <c r="AB40" s="79"/>
      <c r="AC40" s="79"/>
      <c r="AD40" s="79"/>
      <c r="AE40" s="79"/>
      <c r="AF40" s="79"/>
      <c r="AG40" s="79"/>
      <c r="AH40" s="79"/>
    </row>
    <row r="41" spans="1:34" x14ac:dyDescent="0.2">
      <c r="A41" s="74">
        <v>30</v>
      </c>
      <c r="B41" s="75"/>
      <c r="C41" s="78"/>
      <c r="D41" s="78"/>
      <c r="E41" s="76"/>
      <c r="F41" s="77"/>
      <c r="G41" s="79"/>
      <c r="H41" s="84">
        <f t="shared" si="0"/>
        <v>0</v>
      </c>
      <c r="I41" s="84">
        <f t="shared" si="1"/>
        <v>0</v>
      </c>
      <c r="J41" s="79"/>
      <c r="K41" s="84">
        <f t="shared" si="2"/>
        <v>0</v>
      </c>
      <c r="L41" s="79"/>
      <c r="M41" s="84">
        <f t="shared" si="3"/>
        <v>0</v>
      </c>
      <c r="N41" s="79"/>
      <c r="O41" s="84">
        <f t="shared" si="4"/>
        <v>0</v>
      </c>
      <c r="P41" s="84">
        <f t="shared" si="5"/>
        <v>0</v>
      </c>
      <c r="Q41" s="84">
        <f t="shared" si="6"/>
        <v>0</v>
      </c>
      <c r="R41" s="85">
        <f t="shared" si="7"/>
        <v>0</v>
      </c>
      <c r="S41" s="85">
        <f t="shared" si="8"/>
        <v>0</v>
      </c>
      <c r="T41" s="79"/>
      <c r="U41" s="79"/>
      <c r="V41" s="79"/>
      <c r="W41" s="79"/>
      <c r="X41" s="79"/>
      <c r="Y41" s="82"/>
      <c r="Z41" s="79"/>
      <c r="AA41" s="79"/>
      <c r="AB41" s="79"/>
      <c r="AC41" s="79"/>
      <c r="AD41" s="79"/>
      <c r="AE41" s="79"/>
      <c r="AF41" s="79"/>
      <c r="AG41" s="79"/>
      <c r="AH41" s="79"/>
    </row>
    <row r="42" spans="1:34" x14ac:dyDescent="0.2">
      <c r="A42" s="74">
        <v>31</v>
      </c>
      <c r="B42" s="75"/>
      <c r="C42" s="78"/>
      <c r="D42" s="78"/>
      <c r="E42" s="76"/>
      <c r="F42" s="77"/>
      <c r="G42" s="79"/>
      <c r="H42" s="84">
        <f t="shared" si="0"/>
        <v>0</v>
      </c>
      <c r="I42" s="84">
        <f t="shared" si="1"/>
        <v>0</v>
      </c>
      <c r="J42" s="79"/>
      <c r="K42" s="84">
        <f t="shared" si="2"/>
        <v>0</v>
      </c>
      <c r="L42" s="79"/>
      <c r="M42" s="84">
        <f t="shared" si="3"/>
        <v>0</v>
      </c>
      <c r="N42" s="79"/>
      <c r="O42" s="84">
        <f t="shared" si="4"/>
        <v>0</v>
      </c>
      <c r="P42" s="84">
        <f t="shared" si="5"/>
        <v>0</v>
      </c>
      <c r="Q42" s="84">
        <f t="shared" si="6"/>
        <v>0</v>
      </c>
      <c r="R42" s="85">
        <f t="shared" si="7"/>
        <v>0</v>
      </c>
      <c r="S42" s="85">
        <f t="shared" si="8"/>
        <v>0</v>
      </c>
      <c r="T42" s="79"/>
      <c r="U42" s="79"/>
      <c r="V42" s="79"/>
      <c r="W42" s="79"/>
      <c r="X42" s="79"/>
      <c r="Y42" s="82"/>
      <c r="Z42" s="79"/>
      <c r="AA42" s="79"/>
      <c r="AB42" s="79"/>
      <c r="AC42" s="79"/>
      <c r="AD42" s="79"/>
      <c r="AE42" s="79"/>
      <c r="AF42" s="79"/>
      <c r="AG42" s="79"/>
      <c r="AH42" s="79"/>
    </row>
    <row r="43" spans="1:34" x14ac:dyDescent="0.2">
      <c r="A43" s="74">
        <v>32</v>
      </c>
      <c r="B43" s="75"/>
      <c r="C43" s="78"/>
      <c r="D43" s="78"/>
      <c r="E43" s="76"/>
      <c r="F43" s="77"/>
      <c r="G43" s="79"/>
      <c r="H43" s="84">
        <f t="shared" si="0"/>
        <v>0</v>
      </c>
      <c r="I43" s="84">
        <f t="shared" si="1"/>
        <v>0</v>
      </c>
      <c r="J43" s="79"/>
      <c r="K43" s="84">
        <f t="shared" si="2"/>
        <v>0</v>
      </c>
      <c r="L43" s="79"/>
      <c r="M43" s="84">
        <f t="shared" si="3"/>
        <v>0</v>
      </c>
      <c r="N43" s="79"/>
      <c r="O43" s="84">
        <f t="shared" si="4"/>
        <v>0</v>
      </c>
      <c r="P43" s="84">
        <f t="shared" si="5"/>
        <v>0</v>
      </c>
      <c r="Q43" s="84">
        <f t="shared" si="6"/>
        <v>0</v>
      </c>
      <c r="R43" s="85">
        <f t="shared" si="7"/>
        <v>0</v>
      </c>
      <c r="S43" s="85">
        <f t="shared" si="8"/>
        <v>0</v>
      </c>
      <c r="T43" s="79"/>
      <c r="U43" s="79"/>
      <c r="V43" s="79"/>
      <c r="W43" s="79"/>
      <c r="X43" s="79"/>
      <c r="Y43" s="82"/>
      <c r="Z43" s="79"/>
      <c r="AA43" s="79"/>
      <c r="AB43" s="79"/>
      <c r="AC43" s="79"/>
      <c r="AD43" s="79"/>
      <c r="AE43" s="79"/>
      <c r="AF43" s="79"/>
      <c r="AG43" s="79"/>
      <c r="AH43" s="79"/>
    </row>
    <row r="44" spans="1:34" x14ac:dyDescent="0.2">
      <c r="A44" s="74">
        <v>33</v>
      </c>
      <c r="B44" s="75"/>
      <c r="C44" s="78"/>
      <c r="D44" s="78"/>
      <c r="E44" s="76"/>
      <c r="F44" s="77"/>
      <c r="G44" s="79"/>
      <c r="H44" s="84">
        <f t="shared" si="0"/>
        <v>0</v>
      </c>
      <c r="I44" s="84">
        <f t="shared" si="1"/>
        <v>0</v>
      </c>
      <c r="J44" s="79"/>
      <c r="K44" s="84">
        <f t="shared" si="2"/>
        <v>0</v>
      </c>
      <c r="L44" s="79"/>
      <c r="M44" s="84">
        <f t="shared" si="3"/>
        <v>0</v>
      </c>
      <c r="N44" s="79"/>
      <c r="O44" s="84">
        <f t="shared" si="4"/>
        <v>0</v>
      </c>
      <c r="P44" s="84">
        <f t="shared" si="5"/>
        <v>0</v>
      </c>
      <c r="Q44" s="84">
        <f t="shared" si="6"/>
        <v>0</v>
      </c>
      <c r="R44" s="85">
        <f t="shared" si="7"/>
        <v>0</v>
      </c>
      <c r="S44" s="85">
        <f t="shared" si="8"/>
        <v>0</v>
      </c>
      <c r="T44" s="79"/>
      <c r="U44" s="79"/>
      <c r="V44" s="79"/>
      <c r="W44" s="79"/>
      <c r="X44" s="79"/>
      <c r="Y44" s="82"/>
      <c r="Z44" s="79"/>
      <c r="AA44" s="79"/>
      <c r="AB44" s="79"/>
      <c r="AC44" s="79"/>
      <c r="AD44" s="79"/>
      <c r="AE44" s="79"/>
      <c r="AF44" s="79"/>
      <c r="AG44" s="79"/>
      <c r="AH44" s="79"/>
    </row>
    <row r="45" spans="1:34" x14ac:dyDescent="0.2">
      <c r="A45" s="74">
        <v>34</v>
      </c>
      <c r="B45" s="75"/>
      <c r="C45" s="78"/>
      <c r="D45" s="78"/>
      <c r="E45" s="76"/>
      <c r="F45" s="77"/>
      <c r="G45" s="79"/>
      <c r="H45" s="84">
        <f t="shared" si="0"/>
        <v>0</v>
      </c>
      <c r="I45" s="84">
        <f t="shared" si="1"/>
        <v>0</v>
      </c>
      <c r="J45" s="79"/>
      <c r="K45" s="84">
        <f t="shared" si="2"/>
        <v>0</v>
      </c>
      <c r="L45" s="79"/>
      <c r="M45" s="84">
        <f t="shared" si="3"/>
        <v>0</v>
      </c>
      <c r="N45" s="79"/>
      <c r="O45" s="84">
        <f t="shared" si="4"/>
        <v>0</v>
      </c>
      <c r="P45" s="84">
        <f t="shared" si="5"/>
        <v>0</v>
      </c>
      <c r="Q45" s="84">
        <f t="shared" si="6"/>
        <v>0</v>
      </c>
      <c r="R45" s="85">
        <f t="shared" si="7"/>
        <v>0</v>
      </c>
      <c r="S45" s="85">
        <f t="shared" si="8"/>
        <v>0</v>
      </c>
      <c r="T45" s="79"/>
      <c r="U45" s="79"/>
      <c r="V45" s="79"/>
      <c r="W45" s="79"/>
      <c r="X45" s="79"/>
      <c r="Y45" s="82"/>
      <c r="Z45" s="79"/>
      <c r="AA45" s="79"/>
      <c r="AB45" s="79"/>
      <c r="AC45" s="79"/>
      <c r="AD45" s="79"/>
      <c r="AE45" s="79"/>
      <c r="AF45" s="79"/>
      <c r="AG45" s="79"/>
      <c r="AH45" s="79"/>
    </row>
    <row r="46" spans="1:34" x14ac:dyDescent="0.2">
      <c r="A46" s="74">
        <v>35</v>
      </c>
      <c r="B46" s="75"/>
      <c r="C46" s="78"/>
      <c r="D46" s="78"/>
      <c r="E46" s="76"/>
      <c r="F46" s="77"/>
      <c r="G46" s="79"/>
      <c r="H46" s="84">
        <f t="shared" si="0"/>
        <v>0</v>
      </c>
      <c r="I46" s="84">
        <f t="shared" si="1"/>
        <v>0</v>
      </c>
      <c r="J46" s="79"/>
      <c r="K46" s="84">
        <f t="shared" si="2"/>
        <v>0</v>
      </c>
      <c r="L46" s="79"/>
      <c r="M46" s="84">
        <f t="shared" si="3"/>
        <v>0</v>
      </c>
      <c r="N46" s="79"/>
      <c r="O46" s="84">
        <f t="shared" si="4"/>
        <v>0</v>
      </c>
      <c r="P46" s="84">
        <f t="shared" si="5"/>
        <v>0</v>
      </c>
      <c r="Q46" s="84">
        <f t="shared" si="6"/>
        <v>0</v>
      </c>
      <c r="R46" s="85">
        <f t="shared" si="7"/>
        <v>0</v>
      </c>
      <c r="S46" s="85">
        <f t="shared" si="8"/>
        <v>0</v>
      </c>
      <c r="T46" s="79"/>
      <c r="U46" s="79"/>
      <c r="V46" s="79"/>
      <c r="W46" s="79"/>
      <c r="X46" s="79"/>
      <c r="Y46" s="82"/>
      <c r="Z46" s="79"/>
      <c r="AA46" s="79"/>
      <c r="AB46" s="79"/>
      <c r="AC46" s="79"/>
      <c r="AD46" s="79"/>
      <c r="AE46" s="79"/>
      <c r="AF46" s="79"/>
      <c r="AG46" s="79"/>
      <c r="AH46" s="79"/>
    </row>
    <row r="47" spans="1:34" x14ac:dyDescent="0.2">
      <c r="A47" s="74">
        <v>36</v>
      </c>
      <c r="B47" s="75"/>
      <c r="C47" s="78"/>
      <c r="D47" s="78"/>
      <c r="E47" s="76"/>
      <c r="F47" s="77"/>
      <c r="G47" s="79"/>
      <c r="H47" s="84">
        <f t="shared" si="0"/>
        <v>0</v>
      </c>
      <c r="I47" s="84">
        <f t="shared" si="1"/>
        <v>0</v>
      </c>
      <c r="J47" s="79"/>
      <c r="K47" s="84">
        <f t="shared" si="2"/>
        <v>0</v>
      </c>
      <c r="L47" s="79"/>
      <c r="M47" s="84">
        <f t="shared" si="3"/>
        <v>0</v>
      </c>
      <c r="N47" s="79"/>
      <c r="O47" s="84">
        <f t="shared" si="4"/>
        <v>0</v>
      </c>
      <c r="P47" s="84">
        <f t="shared" si="5"/>
        <v>0</v>
      </c>
      <c r="Q47" s="84">
        <f t="shared" si="6"/>
        <v>0</v>
      </c>
      <c r="R47" s="85">
        <f t="shared" si="7"/>
        <v>0</v>
      </c>
      <c r="S47" s="85">
        <f t="shared" si="8"/>
        <v>0</v>
      </c>
      <c r="T47" s="79"/>
      <c r="U47" s="79"/>
      <c r="V47" s="79"/>
      <c r="W47" s="79"/>
      <c r="X47" s="79"/>
      <c r="Y47" s="82"/>
      <c r="Z47" s="79"/>
      <c r="AA47" s="79"/>
      <c r="AB47" s="79"/>
      <c r="AC47" s="79"/>
      <c r="AD47" s="79"/>
      <c r="AE47" s="79"/>
      <c r="AF47" s="79"/>
      <c r="AG47" s="79"/>
      <c r="AH47" s="79"/>
    </row>
    <row r="48" spans="1:34" x14ac:dyDescent="0.2">
      <c r="A48" s="74">
        <v>37</v>
      </c>
      <c r="B48" s="75"/>
      <c r="C48" s="78"/>
      <c r="D48" s="78"/>
      <c r="E48" s="76"/>
      <c r="F48" s="77"/>
      <c r="G48" s="83"/>
      <c r="H48" s="84">
        <f t="shared" si="0"/>
        <v>0</v>
      </c>
      <c r="I48" s="84">
        <f t="shared" si="1"/>
        <v>0</v>
      </c>
      <c r="J48" s="79"/>
      <c r="K48" s="84">
        <f t="shared" si="2"/>
        <v>0</v>
      </c>
      <c r="L48" s="79"/>
      <c r="M48" s="84">
        <f t="shared" si="3"/>
        <v>0</v>
      </c>
      <c r="N48" s="79"/>
      <c r="O48" s="84">
        <f t="shared" si="4"/>
        <v>0</v>
      </c>
      <c r="P48" s="84">
        <f t="shared" si="5"/>
        <v>0</v>
      </c>
      <c r="Q48" s="84">
        <f t="shared" si="6"/>
        <v>0</v>
      </c>
      <c r="R48" s="85">
        <f t="shared" si="7"/>
        <v>0</v>
      </c>
      <c r="S48" s="85">
        <f t="shared" si="8"/>
        <v>0</v>
      </c>
      <c r="T48" s="79"/>
      <c r="U48" s="79"/>
      <c r="V48" s="79"/>
      <c r="W48" s="79"/>
      <c r="X48" s="79"/>
      <c r="Y48" s="82"/>
      <c r="Z48" s="79"/>
      <c r="AA48" s="79"/>
      <c r="AB48" s="79"/>
      <c r="AC48" s="79"/>
      <c r="AD48" s="79"/>
      <c r="AE48" s="79"/>
      <c r="AF48" s="79"/>
      <c r="AG48" s="79"/>
      <c r="AH48" s="79"/>
    </row>
    <row r="49" spans="1:34" x14ac:dyDescent="0.2">
      <c r="A49" s="74">
        <v>38</v>
      </c>
      <c r="B49" s="75"/>
      <c r="C49" s="78"/>
      <c r="D49" s="78"/>
      <c r="E49" s="76"/>
      <c r="F49" s="77"/>
      <c r="G49" s="79"/>
      <c r="H49" s="84">
        <f t="shared" si="0"/>
        <v>0</v>
      </c>
      <c r="I49" s="84">
        <f t="shared" si="1"/>
        <v>0</v>
      </c>
      <c r="J49" s="79"/>
      <c r="K49" s="84">
        <f t="shared" si="2"/>
        <v>0</v>
      </c>
      <c r="L49" s="79"/>
      <c r="M49" s="84">
        <f t="shared" si="3"/>
        <v>0</v>
      </c>
      <c r="N49" s="79"/>
      <c r="O49" s="84">
        <f t="shared" si="4"/>
        <v>0</v>
      </c>
      <c r="P49" s="84">
        <f t="shared" si="5"/>
        <v>0</v>
      </c>
      <c r="Q49" s="84">
        <f t="shared" si="6"/>
        <v>0</v>
      </c>
      <c r="R49" s="85">
        <f t="shared" si="7"/>
        <v>0</v>
      </c>
      <c r="S49" s="85">
        <f t="shared" si="8"/>
        <v>0</v>
      </c>
      <c r="T49" s="79"/>
      <c r="U49" s="79"/>
      <c r="V49" s="79"/>
      <c r="W49" s="79"/>
      <c r="X49" s="79"/>
      <c r="Y49" s="82"/>
      <c r="Z49" s="79"/>
      <c r="AA49" s="79"/>
      <c r="AB49" s="79"/>
      <c r="AC49" s="79"/>
      <c r="AD49" s="79"/>
      <c r="AE49" s="79"/>
      <c r="AF49" s="79"/>
      <c r="AG49" s="79"/>
      <c r="AH49" s="79"/>
    </row>
    <row r="50" spans="1:34" x14ac:dyDescent="0.2">
      <c r="A50" s="74">
        <v>39</v>
      </c>
      <c r="B50" s="75"/>
      <c r="C50" s="78"/>
      <c r="D50" s="78"/>
      <c r="E50" s="76"/>
      <c r="F50" s="77"/>
      <c r="G50" s="79"/>
      <c r="H50" s="84">
        <f t="shared" si="0"/>
        <v>0</v>
      </c>
      <c r="I50" s="84">
        <f t="shared" si="1"/>
        <v>0</v>
      </c>
      <c r="J50" s="79"/>
      <c r="K50" s="84">
        <f t="shared" si="2"/>
        <v>0</v>
      </c>
      <c r="L50" s="79"/>
      <c r="M50" s="84">
        <f t="shared" si="3"/>
        <v>0</v>
      </c>
      <c r="N50" s="79"/>
      <c r="O50" s="84">
        <f t="shared" si="4"/>
        <v>0</v>
      </c>
      <c r="P50" s="84">
        <f t="shared" si="5"/>
        <v>0</v>
      </c>
      <c r="Q50" s="84">
        <f t="shared" si="6"/>
        <v>0</v>
      </c>
      <c r="R50" s="85">
        <f t="shared" si="7"/>
        <v>0</v>
      </c>
      <c r="S50" s="85">
        <f t="shared" si="8"/>
        <v>0</v>
      </c>
      <c r="T50" s="79"/>
      <c r="U50" s="79"/>
      <c r="V50" s="79"/>
      <c r="W50" s="79"/>
      <c r="X50" s="79"/>
      <c r="Y50" s="82"/>
      <c r="Z50" s="79"/>
      <c r="AA50" s="79"/>
      <c r="AB50" s="79"/>
      <c r="AC50" s="79"/>
      <c r="AD50" s="79"/>
      <c r="AE50" s="79"/>
      <c r="AF50" s="79"/>
      <c r="AG50" s="79"/>
      <c r="AH50" s="79"/>
    </row>
    <row r="51" spans="1:34" x14ac:dyDescent="0.2">
      <c r="A51" s="74">
        <v>40</v>
      </c>
      <c r="B51" s="75"/>
      <c r="C51" s="78"/>
      <c r="D51" s="78"/>
      <c r="E51" s="76"/>
      <c r="F51" s="77"/>
      <c r="G51" s="79"/>
      <c r="H51" s="84">
        <f t="shared" si="0"/>
        <v>0</v>
      </c>
      <c r="I51" s="84">
        <f t="shared" si="1"/>
        <v>0</v>
      </c>
      <c r="J51" s="79"/>
      <c r="K51" s="84">
        <f t="shared" si="2"/>
        <v>0</v>
      </c>
      <c r="L51" s="79"/>
      <c r="M51" s="84">
        <f t="shared" si="3"/>
        <v>0</v>
      </c>
      <c r="N51" s="79"/>
      <c r="O51" s="84">
        <f t="shared" si="4"/>
        <v>0</v>
      </c>
      <c r="P51" s="84">
        <f t="shared" si="5"/>
        <v>0</v>
      </c>
      <c r="Q51" s="84">
        <f t="shared" si="6"/>
        <v>0</v>
      </c>
      <c r="R51" s="85">
        <f t="shared" si="7"/>
        <v>0</v>
      </c>
      <c r="S51" s="85">
        <f t="shared" si="8"/>
        <v>0</v>
      </c>
      <c r="T51" s="79"/>
      <c r="U51" s="79"/>
      <c r="V51" s="79"/>
      <c r="W51" s="79"/>
      <c r="X51" s="79"/>
      <c r="Y51" s="82"/>
      <c r="Z51" s="79"/>
      <c r="AA51" s="79"/>
      <c r="AB51" s="79"/>
      <c r="AC51" s="79"/>
      <c r="AD51" s="79"/>
      <c r="AE51" s="79"/>
      <c r="AF51" s="79"/>
      <c r="AG51" s="79"/>
      <c r="AH51" s="79"/>
    </row>
    <row r="52" spans="1:34" x14ac:dyDescent="0.2">
      <c r="A52" s="74">
        <v>41</v>
      </c>
      <c r="B52" s="75"/>
      <c r="C52" s="78"/>
      <c r="D52" s="78"/>
      <c r="E52" s="76"/>
      <c r="F52" s="77"/>
      <c r="G52" s="79"/>
      <c r="H52" s="84">
        <f t="shared" si="0"/>
        <v>0</v>
      </c>
      <c r="I52" s="84">
        <f t="shared" si="1"/>
        <v>0</v>
      </c>
      <c r="J52" s="79"/>
      <c r="K52" s="84">
        <f t="shared" si="2"/>
        <v>0</v>
      </c>
      <c r="L52" s="79"/>
      <c r="M52" s="84">
        <f t="shared" si="3"/>
        <v>0</v>
      </c>
      <c r="N52" s="79"/>
      <c r="O52" s="84">
        <f t="shared" si="4"/>
        <v>0</v>
      </c>
      <c r="P52" s="84">
        <f t="shared" si="5"/>
        <v>0</v>
      </c>
      <c r="Q52" s="84">
        <f t="shared" si="6"/>
        <v>0</v>
      </c>
      <c r="R52" s="85">
        <f t="shared" si="7"/>
        <v>0</v>
      </c>
      <c r="S52" s="85">
        <f t="shared" si="8"/>
        <v>0</v>
      </c>
      <c r="T52" s="79"/>
      <c r="U52" s="79"/>
      <c r="V52" s="79"/>
      <c r="W52" s="79"/>
      <c r="X52" s="79"/>
      <c r="Y52" s="82"/>
      <c r="Z52" s="79"/>
      <c r="AA52" s="79"/>
      <c r="AB52" s="79"/>
      <c r="AC52" s="79"/>
      <c r="AD52" s="79"/>
      <c r="AE52" s="79"/>
      <c r="AF52" s="79"/>
      <c r="AG52" s="79"/>
      <c r="AH52" s="79"/>
    </row>
    <row r="53" spans="1:34" x14ac:dyDescent="0.2">
      <c r="A53" s="74">
        <v>42</v>
      </c>
      <c r="B53" s="75"/>
      <c r="C53" s="78"/>
      <c r="D53" s="78"/>
      <c r="E53" s="76"/>
      <c r="F53" s="77"/>
      <c r="G53" s="79"/>
      <c r="H53" s="84">
        <f t="shared" si="0"/>
        <v>0</v>
      </c>
      <c r="I53" s="84">
        <f t="shared" si="1"/>
        <v>0</v>
      </c>
      <c r="J53" s="79"/>
      <c r="K53" s="84">
        <f t="shared" si="2"/>
        <v>0</v>
      </c>
      <c r="L53" s="79"/>
      <c r="M53" s="84">
        <f t="shared" si="3"/>
        <v>0</v>
      </c>
      <c r="N53" s="79"/>
      <c r="O53" s="84">
        <f t="shared" si="4"/>
        <v>0</v>
      </c>
      <c r="P53" s="84">
        <f t="shared" si="5"/>
        <v>0</v>
      </c>
      <c r="Q53" s="84">
        <f t="shared" si="6"/>
        <v>0</v>
      </c>
      <c r="R53" s="85">
        <f t="shared" si="7"/>
        <v>0</v>
      </c>
      <c r="S53" s="85">
        <f t="shared" si="8"/>
        <v>0</v>
      </c>
      <c r="T53" s="79"/>
      <c r="U53" s="79"/>
      <c r="V53" s="79"/>
      <c r="W53" s="79"/>
      <c r="X53" s="79"/>
      <c r="Y53" s="82"/>
      <c r="Z53" s="79"/>
      <c r="AA53" s="79"/>
      <c r="AB53" s="79"/>
      <c r="AC53" s="79"/>
      <c r="AD53" s="79"/>
      <c r="AE53" s="79"/>
      <c r="AF53" s="79"/>
      <c r="AG53" s="79"/>
      <c r="AH53" s="79"/>
    </row>
    <row r="54" spans="1:34" x14ac:dyDescent="0.2">
      <c r="A54" s="74">
        <v>43</v>
      </c>
      <c r="B54" s="75"/>
      <c r="C54" s="78"/>
      <c r="D54" s="78"/>
      <c r="E54" s="76"/>
      <c r="F54" s="77"/>
      <c r="G54" s="79"/>
      <c r="H54" s="84">
        <f t="shared" si="0"/>
        <v>0</v>
      </c>
      <c r="I54" s="84">
        <f t="shared" si="1"/>
        <v>0</v>
      </c>
      <c r="J54" s="79"/>
      <c r="K54" s="84">
        <f t="shared" si="2"/>
        <v>0</v>
      </c>
      <c r="L54" s="79"/>
      <c r="M54" s="84">
        <f t="shared" si="3"/>
        <v>0</v>
      </c>
      <c r="N54" s="79"/>
      <c r="O54" s="84">
        <f t="shared" si="4"/>
        <v>0</v>
      </c>
      <c r="P54" s="84">
        <f t="shared" si="5"/>
        <v>0</v>
      </c>
      <c r="Q54" s="84">
        <f t="shared" si="6"/>
        <v>0</v>
      </c>
      <c r="R54" s="85">
        <f t="shared" si="7"/>
        <v>0</v>
      </c>
      <c r="S54" s="85">
        <f t="shared" si="8"/>
        <v>0</v>
      </c>
      <c r="T54" s="79"/>
      <c r="U54" s="79"/>
      <c r="V54" s="79"/>
      <c r="W54" s="79"/>
      <c r="X54" s="79"/>
      <c r="Y54" s="82"/>
      <c r="Z54" s="79"/>
      <c r="AA54" s="79"/>
      <c r="AB54" s="79"/>
      <c r="AC54" s="79"/>
      <c r="AD54" s="79"/>
      <c r="AE54" s="79"/>
      <c r="AF54" s="79"/>
      <c r="AG54" s="79"/>
      <c r="AH54" s="79"/>
    </row>
    <row r="55" spans="1:34" x14ac:dyDescent="0.2">
      <c r="A55" s="74">
        <v>44</v>
      </c>
      <c r="B55" s="75"/>
      <c r="C55" s="78"/>
      <c r="D55" s="78"/>
      <c r="E55" s="76"/>
      <c r="F55" s="77"/>
      <c r="G55" s="79"/>
      <c r="H55" s="84">
        <f t="shared" si="0"/>
        <v>0</v>
      </c>
      <c r="I55" s="84">
        <f t="shared" si="1"/>
        <v>0</v>
      </c>
      <c r="J55" s="79"/>
      <c r="K55" s="84">
        <f t="shared" si="2"/>
        <v>0</v>
      </c>
      <c r="L55" s="79"/>
      <c r="M55" s="84">
        <f t="shared" si="3"/>
        <v>0</v>
      </c>
      <c r="N55" s="79"/>
      <c r="O55" s="84">
        <f t="shared" si="4"/>
        <v>0</v>
      </c>
      <c r="P55" s="84">
        <f t="shared" si="5"/>
        <v>0</v>
      </c>
      <c r="Q55" s="84">
        <f t="shared" si="6"/>
        <v>0</v>
      </c>
      <c r="R55" s="85">
        <f t="shared" si="7"/>
        <v>0</v>
      </c>
      <c r="S55" s="85">
        <f t="shared" si="8"/>
        <v>0</v>
      </c>
      <c r="T55" s="79"/>
      <c r="U55" s="79"/>
      <c r="V55" s="79"/>
      <c r="W55" s="79"/>
      <c r="X55" s="79"/>
      <c r="Y55" s="82"/>
      <c r="Z55" s="79"/>
      <c r="AA55" s="79"/>
      <c r="AB55" s="79"/>
      <c r="AC55" s="79"/>
      <c r="AD55" s="79"/>
      <c r="AE55" s="79"/>
      <c r="AF55" s="79"/>
      <c r="AG55" s="79"/>
      <c r="AH55" s="79"/>
    </row>
    <row r="56" spans="1:34" x14ac:dyDescent="0.2">
      <c r="A56" s="74">
        <v>45</v>
      </c>
      <c r="B56" s="75"/>
      <c r="C56" s="78"/>
      <c r="D56" s="78"/>
      <c r="E56" s="76"/>
      <c r="F56" s="77"/>
      <c r="G56" s="79"/>
      <c r="H56" s="84">
        <f t="shared" si="0"/>
        <v>0</v>
      </c>
      <c r="I56" s="84">
        <f t="shared" si="1"/>
        <v>0</v>
      </c>
      <c r="J56" s="79"/>
      <c r="K56" s="84">
        <f t="shared" si="2"/>
        <v>0</v>
      </c>
      <c r="L56" s="79"/>
      <c r="M56" s="84">
        <f t="shared" si="3"/>
        <v>0</v>
      </c>
      <c r="N56" s="79"/>
      <c r="O56" s="84">
        <f t="shared" si="4"/>
        <v>0</v>
      </c>
      <c r="P56" s="84">
        <f t="shared" si="5"/>
        <v>0</v>
      </c>
      <c r="Q56" s="84">
        <f t="shared" si="6"/>
        <v>0</v>
      </c>
      <c r="R56" s="85">
        <f t="shared" si="7"/>
        <v>0</v>
      </c>
      <c r="S56" s="85">
        <f t="shared" si="8"/>
        <v>0</v>
      </c>
      <c r="T56" s="79"/>
      <c r="U56" s="79"/>
      <c r="V56" s="79"/>
      <c r="W56" s="79"/>
      <c r="X56" s="79"/>
      <c r="Y56" s="82"/>
      <c r="Z56" s="79"/>
      <c r="AA56" s="79"/>
      <c r="AB56" s="79"/>
      <c r="AC56" s="79"/>
      <c r="AD56" s="79"/>
      <c r="AE56" s="79"/>
      <c r="AF56" s="79"/>
      <c r="AG56" s="79"/>
      <c r="AH56" s="79"/>
    </row>
    <row r="57" spans="1:34" x14ac:dyDescent="0.2">
      <c r="A57" s="74">
        <v>46</v>
      </c>
      <c r="B57" s="75"/>
      <c r="C57" s="78"/>
      <c r="D57" s="78"/>
      <c r="E57" s="76"/>
      <c r="F57" s="77"/>
      <c r="G57" s="83"/>
      <c r="H57" s="84">
        <f t="shared" si="0"/>
        <v>0</v>
      </c>
      <c r="I57" s="84">
        <f t="shared" si="1"/>
        <v>0</v>
      </c>
      <c r="J57" s="79"/>
      <c r="K57" s="84">
        <f t="shared" si="2"/>
        <v>0</v>
      </c>
      <c r="L57" s="79"/>
      <c r="M57" s="84">
        <f t="shared" si="3"/>
        <v>0</v>
      </c>
      <c r="N57" s="79"/>
      <c r="O57" s="84">
        <f t="shared" si="4"/>
        <v>0</v>
      </c>
      <c r="P57" s="84">
        <f t="shared" si="5"/>
        <v>0</v>
      </c>
      <c r="Q57" s="84">
        <f t="shared" si="6"/>
        <v>0</v>
      </c>
      <c r="R57" s="85">
        <f t="shared" si="7"/>
        <v>0</v>
      </c>
      <c r="S57" s="85">
        <f t="shared" si="8"/>
        <v>0</v>
      </c>
      <c r="T57" s="79"/>
      <c r="U57" s="79"/>
      <c r="V57" s="79"/>
      <c r="W57" s="79"/>
      <c r="X57" s="79"/>
      <c r="Y57" s="82"/>
      <c r="Z57" s="79"/>
      <c r="AA57" s="79"/>
      <c r="AB57" s="79"/>
      <c r="AC57" s="79"/>
      <c r="AD57" s="79"/>
      <c r="AE57" s="79"/>
      <c r="AF57" s="79"/>
      <c r="AG57" s="79"/>
      <c r="AH57" s="79"/>
    </row>
    <row r="58" spans="1:34" x14ac:dyDescent="0.2">
      <c r="A58" s="74">
        <v>47</v>
      </c>
      <c r="B58" s="75"/>
      <c r="C58" s="78"/>
      <c r="D58" s="78"/>
      <c r="E58" s="76"/>
      <c r="F58" s="77"/>
      <c r="G58" s="79"/>
      <c r="H58" s="84">
        <f t="shared" si="0"/>
        <v>0</v>
      </c>
      <c r="I58" s="84">
        <f t="shared" si="1"/>
        <v>0</v>
      </c>
      <c r="J58" s="79"/>
      <c r="K58" s="84">
        <f t="shared" si="2"/>
        <v>0</v>
      </c>
      <c r="L58" s="79"/>
      <c r="M58" s="84">
        <f t="shared" si="3"/>
        <v>0</v>
      </c>
      <c r="N58" s="79"/>
      <c r="O58" s="84">
        <f t="shared" si="4"/>
        <v>0</v>
      </c>
      <c r="P58" s="84">
        <f t="shared" si="5"/>
        <v>0</v>
      </c>
      <c r="Q58" s="84">
        <f t="shared" si="6"/>
        <v>0</v>
      </c>
      <c r="R58" s="85">
        <f t="shared" si="7"/>
        <v>0</v>
      </c>
      <c r="S58" s="85">
        <f t="shared" si="8"/>
        <v>0</v>
      </c>
      <c r="T58" s="79"/>
      <c r="U58" s="79"/>
      <c r="V58" s="79"/>
      <c r="W58" s="79"/>
      <c r="X58" s="79"/>
      <c r="Y58" s="82"/>
      <c r="Z58" s="79"/>
      <c r="AA58" s="79"/>
      <c r="AB58" s="79"/>
      <c r="AC58" s="79"/>
      <c r="AD58" s="79"/>
      <c r="AE58" s="79"/>
      <c r="AF58" s="79"/>
      <c r="AG58" s="79"/>
      <c r="AH58" s="79"/>
    </row>
    <row r="59" spans="1:34" x14ac:dyDescent="0.2">
      <c r="A59" s="74">
        <v>48</v>
      </c>
      <c r="B59" s="75"/>
      <c r="C59" s="78"/>
      <c r="D59" s="78"/>
      <c r="E59" s="76"/>
      <c r="F59" s="77"/>
      <c r="G59" s="79"/>
      <c r="H59" s="84">
        <f t="shared" si="0"/>
        <v>0</v>
      </c>
      <c r="I59" s="84">
        <f t="shared" si="1"/>
        <v>0</v>
      </c>
      <c r="J59" s="79"/>
      <c r="K59" s="84">
        <f t="shared" si="2"/>
        <v>0</v>
      </c>
      <c r="L59" s="79"/>
      <c r="M59" s="84">
        <f t="shared" si="3"/>
        <v>0</v>
      </c>
      <c r="N59" s="79"/>
      <c r="O59" s="84">
        <f t="shared" si="4"/>
        <v>0</v>
      </c>
      <c r="P59" s="84">
        <f t="shared" si="5"/>
        <v>0</v>
      </c>
      <c r="Q59" s="84">
        <f t="shared" si="6"/>
        <v>0</v>
      </c>
      <c r="R59" s="85">
        <f t="shared" si="7"/>
        <v>0</v>
      </c>
      <c r="S59" s="85">
        <f t="shared" si="8"/>
        <v>0</v>
      </c>
      <c r="T59" s="79"/>
      <c r="U59" s="79"/>
      <c r="V59" s="79"/>
      <c r="W59" s="79"/>
      <c r="X59" s="79"/>
      <c r="Y59" s="82"/>
      <c r="Z59" s="79"/>
      <c r="AA59" s="79"/>
      <c r="AB59" s="79"/>
      <c r="AC59" s="79"/>
      <c r="AD59" s="79"/>
      <c r="AE59" s="79"/>
      <c r="AF59" s="79"/>
      <c r="AG59" s="79"/>
      <c r="AH59" s="79"/>
    </row>
    <row r="60" spans="1:34" x14ac:dyDescent="0.2">
      <c r="A60" s="74">
        <v>49</v>
      </c>
      <c r="B60" s="75"/>
      <c r="C60" s="78"/>
      <c r="D60" s="78"/>
      <c r="E60" s="76"/>
      <c r="F60" s="77"/>
      <c r="G60" s="79"/>
      <c r="H60" s="84">
        <f t="shared" si="0"/>
        <v>0</v>
      </c>
      <c r="I60" s="84">
        <f t="shared" si="1"/>
        <v>0</v>
      </c>
      <c r="J60" s="79"/>
      <c r="K60" s="84">
        <f t="shared" si="2"/>
        <v>0</v>
      </c>
      <c r="L60" s="79"/>
      <c r="M60" s="84">
        <f t="shared" si="3"/>
        <v>0</v>
      </c>
      <c r="N60" s="79"/>
      <c r="O60" s="84">
        <f t="shared" si="4"/>
        <v>0</v>
      </c>
      <c r="P60" s="84">
        <f t="shared" si="5"/>
        <v>0</v>
      </c>
      <c r="Q60" s="84">
        <f t="shared" si="6"/>
        <v>0</v>
      </c>
      <c r="R60" s="85">
        <f t="shared" si="7"/>
        <v>0</v>
      </c>
      <c r="S60" s="85">
        <f t="shared" si="8"/>
        <v>0</v>
      </c>
      <c r="T60" s="79"/>
      <c r="U60" s="79"/>
      <c r="V60" s="79"/>
      <c r="W60" s="79"/>
      <c r="X60" s="79"/>
      <c r="Y60" s="82"/>
      <c r="Z60" s="79"/>
      <c r="AA60" s="79"/>
      <c r="AB60" s="79"/>
      <c r="AC60" s="79"/>
      <c r="AD60" s="79"/>
      <c r="AE60" s="79"/>
      <c r="AF60" s="79"/>
      <c r="AG60" s="79"/>
      <c r="AH60" s="79"/>
    </row>
    <row r="61" spans="1:34" x14ac:dyDescent="0.2">
      <c r="A61" s="74">
        <v>50</v>
      </c>
      <c r="B61" s="75"/>
      <c r="C61" s="78"/>
      <c r="D61" s="78"/>
      <c r="E61" s="76"/>
      <c r="F61" s="77"/>
      <c r="G61" s="79"/>
      <c r="H61" s="84">
        <f t="shared" si="0"/>
        <v>0</v>
      </c>
      <c r="I61" s="84">
        <f t="shared" si="1"/>
        <v>0</v>
      </c>
      <c r="J61" s="79"/>
      <c r="K61" s="84">
        <f t="shared" si="2"/>
        <v>0</v>
      </c>
      <c r="L61" s="79"/>
      <c r="M61" s="84">
        <f t="shared" si="3"/>
        <v>0</v>
      </c>
      <c r="N61" s="79"/>
      <c r="O61" s="84">
        <f t="shared" si="4"/>
        <v>0</v>
      </c>
      <c r="P61" s="84">
        <f t="shared" si="5"/>
        <v>0</v>
      </c>
      <c r="Q61" s="84">
        <f t="shared" si="6"/>
        <v>0</v>
      </c>
      <c r="R61" s="85">
        <f t="shared" si="7"/>
        <v>0</v>
      </c>
      <c r="S61" s="85">
        <f t="shared" si="8"/>
        <v>0</v>
      </c>
      <c r="T61" s="79"/>
      <c r="U61" s="79"/>
      <c r="V61" s="79"/>
      <c r="W61" s="79"/>
      <c r="X61" s="79"/>
      <c r="Y61" s="82"/>
      <c r="Z61" s="79"/>
      <c r="AA61" s="79"/>
      <c r="AB61" s="79"/>
      <c r="AC61" s="79"/>
      <c r="AD61" s="79"/>
      <c r="AE61" s="79"/>
      <c r="AF61" s="79"/>
      <c r="AG61" s="79"/>
      <c r="AH61" s="79"/>
    </row>
    <row r="62" spans="1:34" x14ac:dyDescent="0.2">
      <c r="A62" s="74">
        <v>51</v>
      </c>
      <c r="B62" s="75"/>
      <c r="C62" s="78"/>
      <c r="D62" s="78"/>
      <c r="E62" s="76"/>
      <c r="F62" s="77"/>
      <c r="G62" s="79"/>
      <c r="H62" s="84">
        <f t="shared" si="0"/>
        <v>0</v>
      </c>
      <c r="I62" s="84">
        <f t="shared" si="1"/>
        <v>0</v>
      </c>
      <c r="J62" s="79"/>
      <c r="K62" s="84">
        <f t="shared" si="2"/>
        <v>0</v>
      </c>
      <c r="L62" s="79"/>
      <c r="M62" s="84">
        <f t="shared" si="3"/>
        <v>0</v>
      </c>
      <c r="N62" s="79"/>
      <c r="O62" s="84">
        <f t="shared" si="4"/>
        <v>0</v>
      </c>
      <c r="P62" s="84">
        <f t="shared" si="5"/>
        <v>0</v>
      </c>
      <c r="Q62" s="84">
        <f t="shared" si="6"/>
        <v>0</v>
      </c>
      <c r="R62" s="85">
        <f t="shared" si="7"/>
        <v>0</v>
      </c>
      <c r="S62" s="85">
        <f t="shared" si="8"/>
        <v>0</v>
      </c>
      <c r="T62" s="79"/>
      <c r="U62" s="79"/>
      <c r="V62" s="79"/>
      <c r="W62" s="79"/>
      <c r="X62" s="79"/>
      <c r="Y62" s="82"/>
      <c r="Z62" s="79"/>
      <c r="AA62" s="79"/>
      <c r="AB62" s="79"/>
      <c r="AC62" s="79"/>
      <c r="AD62" s="79"/>
      <c r="AE62" s="79"/>
      <c r="AF62" s="79"/>
      <c r="AG62" s="79"/>
      <c r="AH62" s="79"/>
    </row>
    <row r="63" spans="1:34" x14ac:dyDescent="0.2">
      <c r="A63" s="74">
        <v>52</v>
      </c>
      <c r="B63" s="75"/>
      <c r="C63" s="78"/>
      <c r="D63" s="78"/>
      <c r="E63" s="76"/>
      <c r="F63" s="77"/>
      <c r="G63" s="79"/>
      <c r="H63" s="84">
        <f t="shared" si="0"/>
        <v>0</v>
      </c>
      <c r="I63" s="84">
        <f t="shared" si="1"/>
        <v>0</v>
      </c>
      <c r="J63" s="79"/>
      <c r="K63" s="84">
        <f t="shared" si="2"/>
        <v>0</v>
      </c>
      <c r="L63" s="79"/>
      <c r="M63" s="84">
        <f t="shared" si="3"/>
        <v>0</v>
      </c>
      <c r="N63" s="79"/>
      <c r="O63" s="84">
        <f t="shared" si="4"/>
        <v>0</v>
      </c>
      <c r="P63" s="84">
        <f t="shared" si="5"/>
        <v>0</v>
      </c>
      <c r="Q63" s="84">
        <f t="shared" si="6"/>
        <v>0</v>
      </c>
      <c r="R63" s="85">
        <f t="shared" si="7"/>
        <v>0</v>
      </c>
      <c r="S63" s="85">
        <f t="shared" si="8"/>
        <v>0</v>
      </c>
      <c r="T63" s="79"/>
      <c r="U63" s="79"/>
      <c r="V63" s="79"/>
      <c r="W63" s="79"/>
      <c r="X63" s="79"/>
      <c r="Y63" s="82"/>
      <c r="Z63" s="79"/>
      <c r="AA63" s="79"/>
      <c r="AB63" s="79"/>
      <c r="AC63" s="79"/>
      <c r="AD63" s="79"/>
      <c r="AE63" s="79"/>
      <c r="AF63" s="79"/>
      <c r="AG63" s="79"/>
      <c r="AH63" s="79"/>
    </row>
    <row r="64" spans="1:34" x14ac:dyDescent="0.2">
      <c r="A64" s="74">
        <v>53</v>
      </c>
      <c r="B64" s="75"/>
      <c r="C64" s="78"/>
      <c r="D64" s="78"/>
      <c r="E64" s="76"/>
      <c r="F64" s="77"/>
      <c r="G64" s="79"/>
      <c r="H64" s="84">
        <f t="shared" si="0"/>
        <v>0</v>
      </c>
      <c r="I64" s="84">
        <f t="shared" si="1"/>
        <v>0</v>
      </c>
      <c r="J64" s="79"/>
      <c r="K64" s="84">
        <f t="shared" si="2"/>
        <v>0</v>
      </c>
      <c r="L64" s="79"/>
      <c r="M64" s="84">
        <f t="shared" si="3"/>
        <v>0</v>
      </c>
      <c r="N64" s="79"/>
      <c r="O64" s="84">
        <f t="shared" si="4"/>
        <v>0</v>
      </c>
      <c r="P64" s="84">
        <f t="shared" si="5"/>
        <v>0</v>
      </c>
      <c r="Q64" s="84">
        <f t="shared" si="6"/>
        <v>0</v>
      </c>
      <c r="R64" s="85">
        <f t="shared" si="7"/>
        <v>0</v>
      </c>
      <c r="S64" s="85">
        <f t="shared" si="8"/>
        <v>0</v>
      </c>
      <c r="T64" s="79"/>
      <c r="U64" s="79"/>
      <c r="V64" s="79"/>
      <c r="W64" s="79"/>
      <c r="X64" s="79"/>
      <c r="Y64" s="82"/>
      <c r="Z64" s="79"/>
      <c r="AA64" s="79"/>
      <c r="AB64" s="79"/>
      <c r="AC64" s="79"/>
      <c r="AD64" s="79"/>
      <c r="AE64" s="79"/>
      <c r="AF64" s="79"/>
      <c r="AG64" s="79"/>
      <c r="AH64" s="79"/>
    </row>
    <row r="65" spans="1:34" x14ac:dyDescent="0.2">
      <c r="A65" s="74">
        <v>54</v>
      </c>
      <c r="B65" s="75"/>
      <c r="C65" s="78"/>
      <c r="D65" s="78"/>
      <c r="E65" s="76"/>
      <c r="F65" s="77"/>
      <c r="G65" s="79"/>
      <c r="H65" s="84">
        <f t="shared" si="0"/>
        <v>0</v>
      </c>
      <c r="I65" s="84">
        <f t="shared" si="1"/>
        <v>0</v>
      </c>
      <c r="J65" s="79"/>
      <c r="K65" s="84">
        <f t="shared" si="2"/>
        <v>0</v>
      </c>
      <c r="L65" s="79"/>
      <c r="M65" s="84">
        <f t="shared" si="3"/>
        <v>0</v>
      </c>
      <c r="N65" s="79"/>
      <c r="O65" s="84">
        <f t="shared" si="4"/>
        <v>0</v>
      </c>
      <c r="P65" s="84">
        <f t="shared" si="5"/>
        <v>0</v>
      </c>
      <c r="Q65" s="84">
        <f t="shared" si="6"/>
        <v>0</v>
      </c>
      <c r="R65" s="85">
        <f t="shared" si="7"/>
        <v>0</v>
      </c>
      <c r="S65" s="85">
        <f t="shared" si="8"/>
        <v>0</v>
      </c>
      <c r="T65" s="79"/>
      <c r="U65" s="79"/>
      <c r="V65" s="79"/>
      <c r="W65" s="79"/>
      <c r="X65" s="79"/>
      <c r="Y65" s="82"/>
      <c r="Z65" s="79"/>
      <c r="AA65" s="79"/>
      <c r="AB65" s="79"/>
      <c r="AC65" s="79"/>
      <c r="AD65" s="79"/>
      <c r="AE65" s="79"/>
      <c r="AF65" s="79"/>
      <c r="AG65" s="79"/>
      <c r="AH65" s="79"/>
    </row>
    <row r="66" spans="1:34" x14ac:dyDescent="0.2">
      <c r="A66" s="74">
        <v>55</v>
      </c>
      <c r="B66" s="75"/>
      <c r="C66" s="78"/>
      <c r="D66" s="78"/>
      <c r="E66" s="76"/>
      <c r="F66" s="77"/>
      <c r="G66" s="83"/>
      <c r="H66" s="84">
        <f t="shared" si="0"/>
        <v>0</v>
      </c>
      <c r="I66" s="84">
        <f t="shared" si="1"/>
        <v>0</v>
      </c>
      <c r="J66" s="79"/>
      <c r="K66" s="84">
        <f t="shared" si="2"/>
        <v>0</v>
      </c>
      <c r="L66" s="79"/>
      <c r="M66" s="84">
        <f t="shared" si="3"/>
        <v>0</v>
      </c>
      <c r="N66" s="79"/>
      <c r="O66" s="84">
        <f t="shared" si="4"/>
        <v>0</v>
      </c>
      <c r="P66" s="84">
        <f t="shared" si="5"/>
        <v>0</v>
      </c>
      <c r="Q66" s="84">
        <f t="shared" si="6"/>
        <v>0</v>
      </c>
      <c r="R66" s="85">
        <f t="shared" si="7"/>
        <v>0</v>
      </c>
      <c r="S66" s="85">
        <f t="shared" si="8"/>
        <v>0</v>
      </c>
      <c r="T66" s="79"/>
      <c r="U66" s="79"/>
      <c r="V66" s="79"/>
      <c r="W66" s="79"/>
      <c r="X66" s="79"/>
      <c r="Y66" s="82"/>
      <c r="Z66" s="79"/>
      <c r="AA66" s="79"/>
      <c r="AB66" s="79"/>
      <c r="AC66" s="79"/>
      <c r="AD66" s="79"/>
      <c r="AE66" s="79"/>
      <c r="AF66" s="79"/>
      <c r="AG66" s="79"/>
      <c r="AH66" s="79"/>
    </row>
    <row r="67" spans="1:34" x14ac:dyDescent="0.2">
      <c r="A67" s="74">
        <v>56</v>
      </c>
      <c r="B67" s="75"/>
      <c r="C67" s="78"/>
      <c r="D67" s="78"/>
      <c r="E67" s="76"/>
      <c r="F67" s="77"/>
      <c r="G67" s="79"/>
      <c r="H67" s="84">
        <f t="shared" si="0"/>
        <v>0</v>
      </c>
      <c r="I67" s="84">
        <f t="shared" si="1"/>
        <v>0</v>
      </c>
      <c r="J67" s="79"/>
      <c r="K67" s="84">
        <f t="shared" si="2"/>
        <v>0</v>
      </c>
      <c r="L67" s="79"/>
      <c r="M67" s="84">
        <f t="shared" si="3"/>
        <v>0</v>
      </c>
      <c r="N67" s="79"/>
      <c r="O67" s="84">
        <f t="shared" si="4"/>
        <v>0</v>
      </c>
      <c r="P67" s="84">
        <f t="shared" si="5"/>
        <v>0</v>
      </c>
      <c r="Q67" s="84">
        <f t="shared" si="6"/>
        <v>0</v>
      </c>
      <c r="R67" s="85">
        <f t="shared" si="7"/>
        <v>0</v>
      </c>
      <c r="S67" s="85">
        <f t="shared" si="8"/>
        <v>0</v>
      </c>
      <c r="T67" s="79"/>
      <c r="U67" s="79"/>
      <c r="V67" s="79"/>
      <c r="W67" s="79"/>
      <c r="X67" s="79"/>
      <c r="Y67" s="82"/>
      <c r="Z67" s="79"/>
      <c r="AA67" s="79"/>
      <c r="AB67" s="79"/>
      <c r="AC67" s="79"/>
      <c r="AD67" s="79"/>
      <c r="AE67" s="79"/>
      <c r="AF67" s="79"/>
      <c r="AG67" s="79"/>
      <c r="AH67" s="79"/>
    </row>
    <row r="68" spans="1:34" x14ac:dyDescent="0.2">
      <c r="A68" s="74">
        <v>57</v>
      </c>
      <c r="B68" s="75"/>
      <c r="C68" s="78"/>
      <c r="D68" s="78"/>
      <c r="E68" s="76"/>
      <c r="F68" s="77"/>
      <c r="G68" s="79"/>
      <c r="H68" s="84">
        <f t="shared" si="0"/>
        <v>0</v>
      </c>
      <c r="I68" s="84">
        <f t="shared" si="1"/>
        <v>0</v>
      </c>
      <c r="J68" s="79"/>
      <c r="K68" s="84">
        <f t="shared" si="2"/>
        <v>0</v>
      </c>
      <c r="L68" s="79"/>
      <c r="M68" s="84">
        <f t="shared" si="3"/>
        <v>0</v>
      </c>
      <c r="N68" s="79"/>
      <c r="O68" s="84">
        <f t="shared" si="4"/>
        <v>0</v>
      </c>
      <c r="P68" s="84">
        <f t="shared" si="5"/>
        <v>0</v>
      </c>
      <c r="Q68" s="84">
        <f t="shared" si="6"/>
        <v>0</v>
      </c>
      <c r="R68" s="85">
        <f t="shared" si="7"/>
        <v>0</v>
      </c>
      <c r="S68" s="85">
        <f t="shared" si="8"/>
        <v>0</v>
      </c>
      <c r="T68" s="79"/>
      <c r="U68" s="79"/>
      <c r="V68" s="79"/>
      <c r="W68" s="79"/>
      <c r="X68" s="79"/>
      <c r="Y68" s="82"/>
      <c r="Z68" s="79"/>
      <c r="AA68" s="79"/>
      <c r="AB68" s="79"/>
      <c r="AC68" s="79"/>
      <c r="AD68" s="79"/>
      <c r="AE68" s="79"/>
      <c r="AF68" s="79"/>
      <c r="AG68" s="79"/>
      <c r="AH68" s="79"/>
    </row>
    <row r="69" spans="1:34" x14ac:dyDescent="0.2">
      <c r="A69" s="74">
        <v>58</v>
      </c>
      <c r="B69" s="75"/>
      <c r="C69" s="78"/>
      <c r="D69" s="78"/>
      <c r="E69" s="76"/>
      <c r="F69" s="77"/>
      <c r="G69" s="79"/>
      <c r="H69" s="84">
        <f t="shared" si="0"/>
        <v>0</v>
      </c>
      <c r="I69" s="84">
        <f t="shared" si="1"/>
        <v>0</v>
      </c>
      <c r="J69" s="79"/>
      <c r="K69" s="84">
        <f t="shared" si="2"/>
        <v>0</v>
      </c>
      <c r="L69" s="79"/>
      <c r="M69" s="84">
        <f t="shared" si="3"/>
        <v>0</v>
      </c>
      <c r="N69" s="79"/>
      <c r="O69" s="84">
        <f t="shared" si="4"/>
        <v>0</v>
      </c>
      <c r="P69" s="84">
        <f t="shared" si="5"/>
        <v>0</v>
      </c>
      <c r="Q69" s="84">
        <f t="shared" si="6"/>
        <v>0</v>
      </c>
      <c r="R69" s="85">
        <f t="shared" si="7"/>
        <v>0</v>
      </c>
      <c r="S69" s="85">
        <f t="shared" si="8"/>
        <v>0</v>
      </c>
      <c r="T69" s="79"/>
      <c r="U69" s="79"/>
      <c r="V69" s="79"/>
      <c r="W69" s="79"/>
      <c r="X69" s="79"/>
      <c r="Y69" s="82"/>
      <c r="Z69" s="79"/>
      <c r="AA69" s="79"/>
      <c r="AB69" s="79"/>
      <c r="AC69" s="79"/>
      <c r="AD69" s="79"/>
      <c r="AE69" s="79"/>
      <c r="AF69" s="79"/>
      <c r="AG69" s="79"/>
      <c r="AH69" s="79"/>
    </row>
    <row r="70" spans="1:34" x14ac:dyDescent="0.2">
      <c r="A70" s="74">
        <v>59</v>
      </c>
      <c r="B70" s="75"/>
      <c r="C70" s="78"/>
      <c r="D70" s="78"/>
      <c r="E70" s="76"/>
      <c r="F70" s="77"/>
      <c r="G70" s="79"/>
      <c r="H70" s="84">
        <f t="shared" si="0"/>
        <v>0</v>
      </c>
      <c r="I70" s="84">
        <f t="shared" si="1"/>
        <v>0</v>
      </c>
      <c r="J70" s="79"/>
      <c r="K70" s="84">
        <f t="shared" si="2"/>
        <v>0</v>
      </c>
      <c r="L70" s="79"/>
      <c r="M70" s="84">
        <f t="shared" si="3"/>
        <v>0</v>
      </c>
      <c r="N70" s="79"/>
      <c r="O70" s="84">
        <f t="shared" si="4"/>
        <v>0</v>
      </c>
      <c r="P70" s="84">
        <f t="shared" si="5"/>
        <v>0</v>
      </c>
      <c r="Q70" s="84">
        <f t="shared" si="6"/>
        <v>0</v>
      </c>
      <c r="R70" s="85">
        <f t="shared" si="7"/>
        <v>0</v>
      </c>
      <c r="S70" s="85">
        <f t="shared" si="8"/>
        <v>0</v>
      </c>
      <c r="T70" s="79"/>
      <c r="U70" s="79"/>
      <c r="V70" s="79"/>
      <c r="W70" s="79"/>
      <c r="X70" s="79"/>
      <c r="Y70" s="82"/>
      <c r="Z70" s="79"/>
      <c r="AA70" s="79"/>
      <c r="AB70" s="79"/>
      <c r="AC70" s="79"/>
      <c r="AD70" s="79"/>
      <c r="AE70" s="79"/>
      <c r="AF70" s="79"/>
      <c r="AG70" s="79"/>
      <c r="AH70" s="79"/>
    </row>
    <row r="71" spans="1:34" x14ac:dyDescent="0.2">
      <c r="A71" s="74">
        <v>60</v>
      </c>
      <c r="B71" s="75"/>
      <c r="C71" s="78"/>
      <c r="D71" s="78"/>
      <c r="E71" s="76"/>
      <c r="F71" s="77"/>
      <c r="G71" s="79"/>
      <c r="H71" s="84">
        <f t="shared" si="0"/>
        <v>0</v>
      </c>
      <c r="I71" s="84">
        <f t="shared" si="1"/>
        <v>0</v>
      </c>
      <c r="J71" s="79"/>
      <c r="K71" s="84">
        <f t="shared" si="2"/>
        <v>0</v>
      </c>
      <c r="L71" s="79"/>
      <c r="M71" s="84">
        <f t="shared" si="3"/>
        <v>0</v>
      </c>
      <c r="N71" s="79"/>
      <c r="O71" s="84">
        <f t="shared" si="4"/>
        <v>0</v>
      </c>
      <c r="P71" s="84">
        <f t="shared" si="5"/>
        <v>0</v>
      </c>
      <c r="Q71" s="84">
        <f t="shared" si="6"/>
        <v>0</v>
      </c>
      <c r="R71" s="85">
        <f t="shared" si="7"/>
        <v>0</v>
      </c>
      <c r="S71" s="85">
        <f t="shared" si="8"/>
        <v>0</v>
      </c>
      <c r="T71" s="79"/>
      <c r="U71" s="79"/>
      <c r="V71" s="79"/>
      <c r="W71" s="79"/>
      <c r="X71" s="79"/>
      <c r="Y71" s="82"/>
      <c r="Z71" s="79"/>
      <c r="AA71" s="79"/>
      <c r="AB71" s="79"/>
      <c r="AC71" s="79"/>
      <c r="AD71" s="79"/>
      <c r="AE71" s="79"/>
      <c r="AF71" s="79"/>
      <c r="AG71" s="79"/>
      <c r="AH71" s="79"/>
    </row>
    <row r="72" spans="1:34" x14ac:dyDescent="0.2">
      <c r="A72" s="74">
        <v>61</v>
      </c>
      <c r="B72" s="75"/>
      <c r="C72" s="78"/>
      <c r="D72" s="78"/>
      <c r="E72" s="76"/>
      <c r="F72" s="77"/>
      <c r="G72" s="79"/>
      <c r="H72" s="84">
        <f t="shared" si="0"/>
        <v>0</v>
      </c>
      <c r="I72" s="84">
        <f t="shared" si="1"/>
        <v>0</v>
      </c>
      <c r="J72" s="79"/>
      <c r="K72" s="84">
        <f t="shared" si="2"/>
        <v>0</v>
      </c>
      <c r="L72" s="79"/>
      <c r="M72" s="84">
        <f t="shared" si="3"/>
        <v>0</v>
      </c>
      <c r="N72" s="79"/>
      <c r="O72" s="84">
        <f t="shared" si="4"/>
        <v>0</v>
      </c>
      <c r="P72" s="84">
        <f t="shared" si="5"/>
        <v>0</v>
      </c>
      <c r="Q72" s="84">
        <f t="shared" si="6"/>
        <v>0</v>
      </c>
      <c r="R72" s="85">
        <f t="shared" si="7"/>
        <v>0</v>
      </c>
      <c r="S72" s="85">
        <f t="shared" si="8"/>
        <v>0</v>
      </c>
      <c r="T72" s="79"/>
      <c r="U72" s="79"/>
      <c r="V72" s="79"/>
      <c r="W72" s="79"/>
      <c r="X72" s="79"/>
      <c r="Y72" s="82"/>
      <c r="Z72" s="79"/>
      <c r="AA72" s="79"/>
      <c r="AB72" s="79"/>
      <c r="AC72" s="79"/>
      <c r="AD72" s="79"/>
      <c r="AE72" s="79"/>
      <c r="AF72" s="79"/>
      <c r="AG72" s="79"/>
      <c r="AH72" s="79"/>
    </row>
    <row r="73" spans="1:34" x14ac:dyDescent="0.2">
      <c r="A73" s="74">
        <v>62</v>
      </c>
      <c r="B73" s="75"/>
      <c r="C73" s="78"/>
      <c r="D73" s="78"/>
      <c r="E73" s="76"/>
      <c r="F73" s="77"/>
      <c r="G73" s="79"/>
      <c r="H73" s="84">
        <f t="shared" si="0"/>
        <v>0</v>
      </c>
      <c r="I73" s="84">
        <f t="shared" si="1"/>
        <v>0</v>
      </c>
      <c r="J73" s="79"/>
      <c r="K73" s="84">
        <f t="shared" si="2"/>
        <v>0</v>
      </c>
      <c r="L73" s="79"/>
      <c r="M73" s="84">
        <f t="shared" si="3"/>
        <v>0</v>
      </c>
      <c r="N73" s="79"/>
      <c r="O73" s="84">
        <f t="shared" si="4"/>
        <v>0</v>
      </c>
      <c r="P73" s="84">
        <f t="shared" si="5"/>
        <v>0</v>
      </c>
      <c r="Q73" s="84">
        <f t="shared" si="6"/>
        <v>0</v>
      </c>
      <c r="R73" s="85">
        <f t="shared" si="7"/>
        <v>0</v>
      </c>
      <c r="S73" s="85">
        <f t="shared" si="8"/>
        <v>0</v>
      </c>
      <c r="T73" s="79"/>
      <c r="U73" s="79"/>
      <c r="V73" s="79"/>
      <c r="W73" s="79"/>
      <c r="X73" s="79"/>
      <c r="Y73" s="82"/>
      <c r="Z73" s="79"/>
      <c r="AA73" s="79"/>
      <c r="AB73" s="79"/>
      <c r="AC73" s="79"/>
      <c r="AD73" s="79"/>
      <c r="AE73" s="79"/>
      <c r="AF73" s="79"/>
      <c r="AG73" s="79"/>
      <c r="AH73" s="79"/>
    </row>
    <row r="74" spans="1:34" x14ac:dyDescent="0.2">
      <c r="A74" s="74">
        <v>63</v>
      </c>
      <c r="B74" s="75"/>
      <c r="C74" s="78"/>
      <c r="D74" s="78"/>
      <c r="E74" s="76"/>
      <c r="F74" s="77"/>
      <c r="G74" s="79"/>
      <c r="H74" s="84">
        <f t="shared" si="0"/>
        <v>0</v>
      </c>
      <c r="I74" s="84">
        <f t="shared" si="1"/>
        <v>0</v>
      </c>
      <c r="J74" s="79"/>
      <c r="K74" s="84">
        <f t="shared" si="2"/>
        <v>0</v>
      </c>
      <c r="L74" s="79"/>
      <c r="M74" s="84">
        <f t="shared" si="3"/>
        <v>0</v>
      </c>
      <c r="N74" s="79"/>
      <c r="O74" s="84">
        <f t="shared" si="4"/>
        <v>0</v>
      </c>
      <c r="P74" s="84">
        <f t="shared" si="5"/>
        <v>0</v>
      </c>
      <c r="Q74" s="84">
        <f t="shared" si="6"/>
        <v>0</v>
      </c>
      <c r="R74" s="85">
        <f t="shared" si="7"/>
        <v>0</v>
      </c>
      <c r="S74" s="85">
        <f t="shared" si="8"/>
        <v>0</v>
      </c>
      <c r="T74" s="79"/>
      <c r="U74" s="79"/>
      <c r="V74" s="79"/>
      <c r="W74" s="79"/>
      <c r="X74" s="79"/>
      <c r="Y74" s="82"/>
      <c r="Z74" s="79"/>
      <c r="AA74" s="79"/>
      <c r="AB74" s="79"/>
      <c r="AC74" s="79"/>
      <c r="AD74" s="79"/>
      <c r="AE74" s="79"/>
      <c r="AF74" s="79"/>
      <c r="AG74" s="79"/>
      <c r="AH74" s="79"/>
    </row>
    <row r="75" spans="1:34" x14ac:dyDescent="0.2">
      <c r="A75" s="74">
        <v>64</v>
      </c>
      <c r="B75" s="75"/>
      <c r="C75" s="78"/>
      <c r="D75" s="78"/>
      <c r="E75" s="76"/>
      <c r="F75" s="77"/>
      <c r="G75" s="83"/>
      <c r="H75" s="84">
        <f t="shared" si="0"/>
        <v>0</v>
      </c>
      <c r="I75" s="84">
        <f t="shared" si="1"/>
        <v>0</v>
      </c>
      <c r="J75" s="79"/>
      <c r="K75" s="84">
        <f t="shared" si="2"/>
        <v>0</v>
      </c>
      <c r="L75" s="79"/>
      <c r="M75" s="84">
        <f t="shared" si="3"/>
        <v>0</v>
      </c>
      <c r="N75" s="79"/>
      <c r="O75" s="84">
        <f t="shared" si="4"/>
        <v>0</v>
      </c>
      <c r="P75" s="84">
        <f t="shared" si="5"/>
        <v>0</v>
      </c>
      <c r="Q75" s="84">
        <f t="shared" si="6"/>
        <v>0</v>
      </c>
      <c r="R75" s="85">
        <f t="shared" si="7"/>
        <v>0</v>
      </c>
      <c r="S75" s="85">
        <f t="shared" si="8"/>
        <v>0</v>
      </c>
      <c r="T75" s="79"/>
      <c r="U75" s="79"/>
      <c r="V75" s="79"/>
      <c r="W75" s="79"/>
      <c r="X75" s="79"/>
      <c r="Y75" s="82"/>
      <c r="Z75" s="79"/>
      <c r="AA75" s="79"/>
      <c r="AB75" s="79"/>
      <c r="AC75" s="79"/>
      <c r="AD75" s="79"/>
      <c r="AE75" s="79"/>
      <c r="AF75" s="79"/>
      <c r="AG75" s="79"/>
      <c r="AH75" s="79"/>
    </row>
    <row r="76" spans="1:34" x14ac:dyDescent="0.2">
      <c r="A76" s="74">
        <v>65</v>
      </c>
      <c r="B76" s="75"/>
      <c r="C76" s="78"/>
      <c r="D76" s="78"/>
      <c r="E76" s="76"/>
      <c r="F76" s="77"/>
      <c r="G76" s="79"/>
      <c r="H76" s="84">
        <f t="shared" si="0"/>
        <v>0</v>
      </c>
      <c r="I76" s="84">
        <f t="shared" si="1"/>
        <v>0</v>
      </c>
      <c r="J76" s="79"/>
      <c r="K76" s="84">
        <f t="shared" si="2"/>
        <v>0</v>
      </c>
      <c r="L76" s="79"/>
      <c r="M76" s="84">
        <f t="shared" si="3"/>
        <v>0</v>
      </c>
      <c r="N76" s="79"/>
      <c r="O76" s="84">
        <f t="shared" si="4"/>
        <v>0</v>
      </c>
      <c r="P76" s="84">
        <f t="shared" si="5"/>
        <v>0</v>
      </c>
      <c r="Q76" s="84">
        <f t="shared" si="6"/>
        <v>0</v>
      </c>
      <c r="R76" s="85">
        <f t="shared" si="7"/>
        <v>0</v>
      </c>
      <c r="S76" s="85">
        <f t="shared" si="8"/>
        <v>0</v>
      </c>
      <c r="T76" s="79"/>
      <c r="U76" s="79"/>
      <c r="V76" s="79"/>
      <c r="W76" s="79"/>
      <c r="X76" s="79"/>
      <c r="Y76" s="82"/>
      <c r="Z76" s="79"/>
      <c r="AA76" s="79"/>
      <c r="AB76" s="79"/>
      <c r="AC76" s="79"/>
      <c r="AD76" s="79"/>
      <c r="AE76" s="79"/>
      <c r="AF76" s="79"/>
      <c r="AG76" s="79"/>
      <c r="AH76" s="79"/>
    </row>
    <row r="77" spans="1:34" x14ac:dyDescent="0.2">
      <c r="A77" s="74">
        <v>66</v>
      </c>
      <c r="B77" s="75"/>
      <c r="C77" s="78"/>
      <c r="D77" s="78"/>
      <c r="E77" s="76"/>
      <c r="F77" s="77"/>
      <c r="G77" s="79"/>
      <c r="H77" s="84">
        <f t="shared" ref="H77:H140" si="27">E77*G77</f>
        <v>0</v>
      </c>
      <c r="I77" s="84">
        <f t="shared" ref="I77:I140" si="28">E77*G77*0.39</f>
        <v>0</v>
      </c>
      <c r="J77" s="79"/>
      <c r="K77" s="84">
        <f t="shared" ref="K77:K140" si="29">J77*0.39</f>
        <v>0</v>
      </c>
      <c r="L77" s="79"/>
      <c r="M77" s="84">
        <f t="shared" ref="M77:M140" si="30">L77*0.39</f>
        <v>0</v>
      </c>
      <c r="N77" s="79"/>
      <c r="O77" s="84">
        <f t="shared" ref="O77:O140" si="31">N77*2.205</f>
        <v>0</v>
      </c>
      <c r="P77" s="84">
        <f t="shared" ref="P77:P140" si="32">SUM(E77*N77)</f>
        <v>0</v>
      </c>
      <c r="Q77" s="84">
        <f t="shared" ref="Q77:Q140" si="33">P77*2.205</f>
        <v>0</v>
      </c>
      <c r="R77" s="85">
        <f t="shared" ref="R77:R140" si="34">SUM(E77*G77*J77)/10000</f>
        <v>0</v>
      </c>
      <c r="S77" s="85">
        <f t="shared" ref="S77:S140" si="35">SUM(E77*G77*J77*L77)/1000000</f>
        <v>0</v>
      </c>
      <c r="T77" s="79"/>
      <c r="U77" s="79"/>
      <c r="V77" s="79"/>
      <c r="W77" s="79"/>
      <c r="X77" s="79"/>
      <c r="Y77" s="82"/>
      <c r="Z77" s="79"/>
      <c r="AA77" s="79"/>
      <c r="AB77" s="79"/>
      <c r="AC77" s="79"/>
      <c r="AD77" s="79"/>
      <c r="AE77" s="79"/>
      <c r="AF77" s="79"/>
      <c r="AG77" s="79"/>
      <c r="AH77" s="79"/>
    </row>
    <row r="78" spans="1:34" x14ac:dyDescent="0.2">
      <c r="A78" s="74">
        <v>67</v>
      </c>
      <c r="B78" s="75"/>
      <c r="C78" s="78"/>
      <c r="D78" s="78"/>
      <c r="E78" s="76"/>
      <c r="F78" s="77"/>
      <c r="G78" s="79"/>
      <c r="H78" s="84">
        <f t="shared" si="27"/>
        <v>0</v>
      </c>
      <c r="I78" s="84">
        <f t="shared" si="28"/>
        <v>0</v>
      </c>
      <c r="J78" s="79"/>
      <c r="K78" s="84">
        <f t="shared" si="29"/>
        <v>0</v>
      </c>
      <c r="L78" s="79"/>
      <c r="M78" s="84">
        <f t="shared" si="30"/>
        <v>0</v>
      </c>
      <c r="N78" s="79"/>
      <c r="O78" s="84">
        <f t="shared" si="31"/>
        <v>0</v>
      </c>
      <c r="P78" s="84">
        <f t="shared" si="32"/>
        <v>0</v>
      </c>
      <c r="Q78" s="84">
        <f t="shared" si="33"/>
        <v>0</v>
      </c>
      <c r="R78" s="85">
        <f t="shared" si="34"/>
        <v>0</v>
      </c>
      <c r="S78" s="85">
        <f t="shared" si="35"/>
        <v>0</v>
      </c>
      <c r="T78" s="79"/>
      <c r="U78" s="79"/>
      <c r="V78" s="79"/>
      <c r="W78" s="79"/>
      <c r="X78" s="79"/>
      <c r="Y78" s="82"/>
      <c r="Z78" s="79"/>
      <c r="AA78" s="79"/>
      <c r="AB78" s="79"/>
      <c r="AC78" s="79"/>
      <c r="AD78" s="79"/>
      <c r="AE78" s="79"/>
      <c r="AF78" s="79"/>
      <c r="AG78" s="79"/>
      <c r="AH78" s="79"/>
    </row>
    <row r="79" spans="1:34" x14ac:dyDescent="0.2">
      <c r="A79" s="74">
        <v>68</v>
      </c>
      <c r="B79" s="75"/>
      <c r="C79" s="78"/>
      <c r="D79" s="78"/>
      <c r="E79" s="76"/>
      <c r="F79" s="77"/>
      <c r="G79" s="79"/>
      <c r="H79" s="84">
        <f t="shared" si="27"/>
        <v>0</v>
      </c>
      <c r="I79" s="84">
        <f t="shared" si="28"/>
        <v>0</v>
      </c>
      <c r="J79" s="79"/>
      <c r="K79" s="84">
        <f t="shared" si="29"/>
        <v>0</v>
      </c>
      <c r="L79" s="79"/>
      <c r="M79" s="84">
        <f t="shared" si="30"/>
        <v>0</v>
      </c>
      <c r="N79" s="79"/>
      <c r="O79" s="84">
        <f t="shared" si="31"/>
        <v>0</v>
      </c>
      <c r="P79" s="84">
        <f t="shared" si="32"/>
        <v>0</v>
      </c>
      <c r="Q79" s="84">
        <f t="shared" si="33"/>
        <v>0</v>
      </c>
      <c r="R79" s="85">
        <f t="shared" si="34"/>
        <v>0</v>
      </c>
      <c r="S79" s="85">
        <f t="shared" si="35"/>
        <v>0</v>
      </c>
      <c r="T79" s="79"/>
      <c r="U79" s="79"/>
      <c r="V79" s="79"/>
      <c r="W79" s="79"/>
      <c r="X79" s="79"/>
      <c r="Y79" s="82"/>
      <c r="Z79" s="79"/>
      <c r="AA79" s="79"/>
      <c r="AB79" s="79"/>
      <c r="AC79" s="79"/>
      <c r="AD79" s="79"/>
      <c r="AE79" s="79"/>
      <c r="AF79" s="79"/>
      <c r="AG79" s="79"/>
      <c r="AH79" s="79"/>
    </row>
    <row r="80" spans="1:34" x14ac:dyDescent="0.2">
      <c r="A80" s="74">
        <v>69</v>
      </c>
      <c r="B80" s="75"/>
      <c r="C80" s="78"/>
      <c r="D80" s="78"/>
      <c r="E80" s="76"/>
      <c r="F80" s="77"/>
      <c r="G80" s="79"/>
      <c r="H80" s="84">
        <f t="shared" si="27"/>
        <v>0</v>
      </c>
      <c r="I80" s="84">
        <f t="shared" si="28"/>
        <v>0</v>
      </c>
      <c r="J80" s="79"/>
      <c r="K80" s="84">
        <f t="shared" si="29"/>
        <v>0</v>
      </c>
      <c r="L80" s="79"/>
      <c r="M80" s="84">
        <f t="shared" si="30"/>
        <v>0</v>
      </c>
      <c r="N80" s="79"/>
      <c r="O80" s="84">
        <f t="shared" si="31"/>
        <v>0</v>
      </c>
      <c r="P80" s="84">
        <f t="shared" si="32"/>
        <v>0</v>
      </c>
      <c r="Q80" s="84">
        <f t="shared" si="33"/>
        <v>0</v>
      </c>
      <c r="R80" s="85">
        <f t="shared" si="34"/>
        <v>0</v>
      </c>
      <c r="S80" s="85">
        <f t="shared" si="35"/>
        <v>0</v>
      </c>
      <c r="T80" s="79"/>
      <c r="U80" s="79"/>
      <c r="V80" s="79"/>
      <c r="W80" s="79"/>
      <c r="X80" s="79"/>
      <c r="Y80" s="82"/>
      <c r="Z80" s="79"/>
      <c r="AA80" s="79"/>
      <c r="AB80" s="79"/>
      <c r="AC80" s="79"/>
      <c r="AD80" s="79"/>
      <c r="AE80" s="79"/>
      <c r="AF80" s="79"/>
      <c r="AG80" s="79"/>
      <c r="AH80" s="79"/>
    </row>
    <row r="81" spans="1:34" x14ac:dyDescent="0.2">
      <c r="A81" s="74">
        <v>70</v>
      </c>
      <c r="B81" s="75"/>
      <c r="C81" s="78"/>
      <c r="D81" s="78"/>
      <c r="E81" s="76"/>
      <c r="F81" s="77"/>
      <c r="G81" s="79"/>
      <c r="H81" s="84">
        <f t="shared" si="27"/>
        <v>0</v>
      </c>
      <c r="I81" s="84">
        <f t="shared" si="28"/>
        <v>0</v>
      </c>
      <c r="J81" s="79"/>
      <c r="K81" s="84">
        <f t="shared" si="29"/>
        <v>0</v>
      </c>
      <c r="L81" s="79"/>
      <c r="M81" s="84">
        <f t="shared" si="30"/>
        <v>0</v>
      </c>
      <c r="N81" s="79"/>
      <c r="O81" s="84">
        <f t="shared" si="31"/>
        <v>0</v>
      </c>
      <c r="P81" s="84">
        <f t="shared" si="32"/>
        <v>0</v>
      </c>
      <c r="Q81" s="84">
        <f t="shared" si="33"/>
        <v>0</v>
      </c>
      <c r="R81" s="85">
        <f t="shared" si="34"/>
        <v>0</v>
      </c>
      <c r="S81" s="85">
        <f t="shared" si="35"/>
        <v>0</v>
      </c>
      <c r="T81" s="79"/>
      <c r="U81" s="79"/>
      <c r="V81" s="79"/>
      <c r="W81" s="79"/>
      <c r="X81" s="79"/>
      <c r="Y81" s="82"/>
      <c r="Z81" s="79"/>
      <c r="AA81" s="79"/>
      <c r="AB81" s="79"/>
      <c r="AC81" s="79"/>
      <c r="AD81" s="79"/>
      <c r="AE81" s="79"/>
      <c r="AF81" s="79"/>
      <c r="AG81" s="79"/>
      <c r="AH81" s="79"/>
    </row>
    <row r="82" spans="1:34" x14ac:dyDescent="0.2">
      <c r="A82" s="74">
        <v>71</v>
      </c>
      <c r="B82" s="75"/>
      <c r="C82" s="78"/>
      <c r="D82" s="78"/>
      <c r="E82" s="76"/>
      <c r="F82" s="77"/>
      <c r="G82" s="79"/>
      <c r="H82" s="84">
        <f t="shared" si="27"/>
        <v>0</v>
      </c>
      <c r="I82" s="84">
        <f t="shared" si="28"/>
        <v>0</v>
      </c>
      <c r="J82" s="79"/>
      <c r="K82" s="84">
        <f t="shared" si="29"/>
        <v>0</v>
      </c>
      <c r="L82" s="79"/>
      <c r="M82" s="84">
        <f t="shared" si="30"/>
        <v>0</v>
      </c>
      <c r="N82" s="79"/>
      <c r="O82" s="84">
        <f t="shared" si="31"/>
        <v>0</v>
      </c>
      <c r="P82" s="84">
        <f t="shared" si="32"/>
        <v>0</v>
      </c>
      <c r="Q82" s="84">
        <f t="shared" si="33"/>
        <v>0</v>
      </c>
      <c r="R82" s="85">
        <f t="shared" si="34"/>
        <v>0</v>
      </c>
      <c r="S82" s="85">
        <f t="shared" si="35"/>
        <v>0</v>
      </c>
      <c r="T82" s="79"/>
      <c r="U82" s="79"/>
      <c r="V82" s="79"/>
      <c r="W82" s="79"/>
      <c r="X82" s="79"/>
      <c r="Y82" s="82"/>
      <c r="Z82" s="79"/>
      <c r="AA82" s="79"/>
      <c r="AB82" s="79"/>
      <c r="AC82" s="79"/>
      <c r="AD82" s="79"/>
      <c r="AE82" s="79"/>
      <c r="AF82" s="79"/>
      <c r="AG82" s="79"/>
      <c r="AH82" s="79"/>
    </row>
    <row r="83" spans="1:34" x14ac:dyDescent="0.2">
      <c r="A83" s="74">
        <v>72</v>
      </c>
      <c r="B83" s="75"/>
      <c r="C83" s="78"/>
      <c r="D83" s="78"/>
      <c r="E83" s="76"/>
      <c r="F83" s="77"/>
      <c r="G83" s="79"/>
      <c r="H83" s="84">
        <f t="shared" si="27"/>
        <v>0</v>
      </c>
      <c r="I83" s="84">
        <f t="shared" si="28"/>
        <v>0</v>
      </c>
      <c r="J83" s="79"/>
      <c r="K83" s="84">
        <f t="shared" si="29"/>
        <v>0</v>
      </c>
      <c r="L83" s="79"/>
      <c r="M83" s="84">
        <f t="shared" si="30"/>
        <v>0</v>
      </c>
      <c r="N83" s="79"/>
      <c r="O83" s="84">
        <f t="shared" si="31"/>
        <v>0</v>
      </c>
      <c r="P83" s="84">
        <f t="shared" si="32"/>
        <v>0</v>
      </c>
      <c r="Q83" s="84">
        <f t="shared" si="33"/>
        <v>0</v>
      </c>
      <c r="R83" s="85">
        <f t="shared" si="34"/>
        <v>0</v>
      </c>
      <c r="S83" s="85">
        <f t="shared" si="35"/>
        <v>0</v>
      </c>
      <c r="T83" s="79"/>
      <c r="U83" s="79"/>
      <c r="V83" s="79"/>
      <c r="W83" s="79"/>
      <c r="X83" s="79"/>
      <c r="Y83" s="82"/>
      <c r="Z83" s="79"/>
      <c r="AA83" s="79"/>
      <c r="AB83" s="79"/>
      <c r="AC83" s="79"/>
      <c r="AD83" s="79"/>
      <c r="AE83" s="79"/>
      <c r="AF83" s="79"/>
      <c r="AG83" s="79"/>
      <c r="AH83" s="79"/>
    </row>
    <row r="84" spans="1:34" x14ac:dyDescent="0.2">
      <c r="A84" s="74">
        <v>73</v>
      </c>
      <c r="B84" s="75"/>
      <c r="C84" s="78"/>
      <c r="D84" s="78"/>
      <c r="E84" s="76"/>
      <c r="F84" s="77"/>
      <c r="G84" s="83"/>
      <c r="H84" s="84">
        <f t="shared" si="27"/>
        <v>0</v>
      </c>
      <c r="I84" s="84">
        <f t="shared" si="28"/>
        <v>0</v>
      </c>
      <c r="J84" s="79"/>
      <c r="K84" s="84">
        <f t="shared" si="29"/>
        <v>0</v>
      </c>
      <c r="L84" s="79"/>
      <c r="M84" s="84">
        <f t="shared" si="30"/>
        <v>0</v>
      </c>
      <c r="N84" s="79"/>
      <c r="O84" s="84">
        <f t="shared" si="31"/>
        <v>0</v>
      </c>
      <c r="P84" s="84">
        <f t="shared" si="32"/>
        <v>0</v>
      </c>
      <c r="Q84" s="84">
        <f t="shared" si="33"/>
        <v>0</v>
      </c>
      <c r="R84" s="85">
        <f t="shared" si="34"/>
        <v>0</v>
      </c>
      <c r="S84" s="85">
        <f t="shared" si="35"/>
        <v>0</v>
      </c>
      <c r="T84" s="79"/>
      <c r="U84" s="79"/>
      <c r="V84" s="79"/>
      <c r="W84" s="79"/>
      <c r="X84" s="79"/>
      <c r="Y84" s="82"/>
      <c r="Z84" s="79"/>
      <c r="AA84" s="79"/>
      <c r="AB84" s="79"/>
      <c r="AC84" s="79"/>
      <c r="AD84" s="79"/>
      <c r="AE84" s="79"/>
      <c r="AF84" s="79"/>
      <c r="AG84" s="79"/>
      <c r="AH84" s="79"/>
    </row>
    <row r="85" spans="1:34" x14ac:dyDescent="0.2">
      <c r="A85" s="74">
        <v>74</v>
      </c>
      <c r="B85" s="75"/>
      <c r="C85" s="78"/>
      <c r="D85" s="78"/>
      <c r="E85" s="76"/>
      <c r="F85" s="77"/>
      <c r="G85" s="79"/>
      <c r="H85" s="84">
        <f t="shared" si="27"/>
        <v>0</v>
      </c>
      <c r="I85" s="84">
        <f t="shared" si="28"/>
        <v>0</v>
      </c>
      <c r="J85" s="79"/>
      <c r="K85" s="84">
        <f t="shared" si="29"/>
        <v>0</v>
      </c>
      <c r="L85" s="79"/>
      <c r="M85" s="84">
        <f t="shared" si="30"/>
        <v>0</v>
      </c>
      <c r="N85" s="79"/>
      <c r="O85" s="84">
        <f t="shared" si="31"/>
        <v>0</v>
      </c>
      <c r="P85" s="84">
        <f t="shared" si="32"/>
        <v>0</v>
      </c>
      <c r="Q85" s="84">
        <f t="shared" si="33"/>
        <v>0</v>
      </c>
      <c r="R85" s="85">
        <f t="shared" si="34"/>
        <v>0</v>
      </c>
      <c r="S85" s="85">
        <f t="shared" si="35"/>
        <v>0</v>
      </c>
      <c r="T85" s="79"/>
      <c r="U85" s="79"/>
      <c r="V85" s="79"/>
      <c r="W85" s="79"/>
      <c r="X85" s="79"/>
      <c r="Y85" s="82"/>
      <c r="Z85" s="79"/>
      <c r="AA85" s="79"/>
      <c r="AB85" s="79"/>
      <c r="AC85" s="79"/>
      <c r="AD85" s="79"/>
      <c r="AE85" s="79"/>
      <c r="AF85" s="79"/>
      <c r="AG85" s="79"/>
      <c r="AH85" s="79"/>
    </row>
    <row r="86" spans="1:34" x14ac:dyDescent="0.2">
      <c r="A86" s="74">
        <v>75</v>
      </c>
      <c r="B86" s="75"/>
      <c r="C86" s="78"/>
      <c r="D86" s="78"/>
      <c r="E86" s="76"/>
      <c r="F86" s="77"/>
      <c r="G86" s="79"/>
      <c r="H86" s="84">
        <f t="shared" si="27"/>
        <v>0</v>
      </c>
      <c r="I86" s="84">
        <f t="shared" si="28"/>
        <v>0</v>
      </c>
      <c r="J86" s="79"/>
      <c r="K86" s="84">
        <f t="shared" si="29"/>
        <v>0</v>
      </c>
      <c r="L86" s="79"/>
      <c r="M86" s="84">
        <f t="shared" si="30"/>
        <v>0</v>
      </c>
      <c r="N86" s="79"/>
      <c r="O86" s="84">
        <f t="shared" si="31"/>
        <v>0</v>
      </c>
      <c r="P86" s="84">
        <f t="shared" si="32"/>
        <v>0</v>
      </c>
      <c r="Q86" s="84">
        <f t="shared" si="33"/>
        <v>0</v>
      </c>
      <c r="R86" s="85">
        <f t="shared" si="34"/>
        <v>0</v>
      </c>
      <c r="S86" s="85">
        <f t="shared" si="35"/>
        <v>0</v>
      </c>
      <c r="T86" s="79"/>
      <c r="U86" s="79"/>
      <c r="V86" s="79"/>
      <c r="W86" s="79"/>
      <c r="X86" s="79"/>
      <c r="Y86" s="82"/>
      <c r="Z86" s="79"/>
      <c r="AA86" s="79"/>
      <c r="AB86" s="79"/>
      <c r="AC86" s="79"/>
      <c r="AD86" s="79"/>
      <c r="AE86" s="79"/>
      <c r="AF86" s="79"/>
      <c r="AG86" s="79"/>
      <c r="AH86" s="79"/>
    </row>
    <row r="87" spans="1:34" x14ac:dyDescent="0.2">
      <c r="A87" s="74">
        <v>76</v>
      </c>
      <c r="B87" s="75"/>
      <c r="C87" s="78"/>
      <c r="D87" s="78"/>
      <c r="E87" s="76"/>
      <c r="F87" s="77"/>
      <c r="G87" s="79"/>
      <c r="H87" s="84">
        <f t="shared" si="27"/>
        <v>0</v>
      </c>
      <c r="I87" s="84">
        <f t="shared" si="28"/>
        <v>0</v>
      </c>
      <c r="J87" s="79"/>
      <c r="K87" s="84">
        <f t="shared" si="29"/>
        <v>0</v>
      </c>
      <c r="L87" s="79"/>
      <c r="M87" s="84">
        <f t="shared" si="30"/>
        <v>0</v>
      </c>
      <c r="N87" s="79"/>
      <c r="O87" s="84">
        <f t="shared" si="31"/>
        <v>0</v>
      </c>
      <c r="P87" s="84">
        <f t="shared" si="32"/>
        <v>0</v>
      </c>
      <c r="Q87" s="84">
        <f t="shared" si="33"/>
        <v>0</v>
      </c>
      <c r="R87" s="85">
        <f t="shared" si="34"/>
        <v>0</v>
      </c>
      <c r="S87" s="85">
        <f t="shared" si="35"/>
        <v>0</v>
      </c>
      <c r="T87" s="79"/>
      <c r="U87" s="79"/>
      <c r="V87" s="79"/>
      <c r="W87" s="79"/>
      <c r="X87" s="79"/>
      <c r="Y87" s="82"/>
      <c r="Z87" s="79"/>
      <c r="AA87" s="79"/>
      <c r="AB87" s="79"/>
      <c r="AC87" s="79"/>
      <c r="AD87" s="79"/>
      <c r="AE87" s="79"/>
      <c r="AF87" s="79"/>
      <c r="AG87" s="79"/>
      <c r="AH87" s="79"/>
    </row>
    <row r="88" spans="1:34" x14ac:dyDescent="0.2">
      <c r="A88" s="74">
        <v>77</v>
      </c>
      <c r="B88" s="75"/>
      <c r="C88" s="78"/>
      <c r="D88" s="78"/>
      <c r="E88" s="76"/>
      <c r="F88" s="77"/>
      <c r="G88" s="79"/>
      <c r="H88" s="84">
        <f t="shared" si="27"/>
        <v>0</v>
      </c>
      <c r="I88" s="84">
        <f t="shared" si="28"/>
        <v>0</v>
      </c>
      <c r="J88" s="79"/>
      <c r="K88" s="84">
        <f t="shared" si="29"/>
        <v>0</v>
      </c>
      <c r="L88" s="79"/>
      <c r="M88" s="84">
        <f t="shared" si="30"/>
        <v>0</v>
      </c>
      <c r="N88" s="79"/>
      <c r="O88" s="84">
        <f t="shared" si="31"/>
        <v>0</v>
      </c>
      <c r="P88" s="84">
        <f t="shared" si="32"/>
        <v>0</v>
      </c>
      <c r="Q88" s="84">
        <f t="shared" si="33"/>
        <v>0</v>
      </c>
      <c r="R88" s="85">
        <f t="shared" si="34"/>
        <v>0</v>
      </c>
      <c r="S88" s="85">
        <f t="shared" si="35"/>
        <v>0</v>
      </c>
      <c r="T88" s="79"/>
      <c r="U88" s="79"/>
      <c r="V88" s="79"/>
      <c r="W88" s="79"/>
      <c r="X88" s="79"/>
      <c r="Y88" s="82"/>
      <c r="Z88" s="79"/>
      <c r="AA88" s="79"/>
      <c r="AB88" s="79"/>
      <c r="AC88" s="79"/>
      <c r="AD88" s="79"/>
      <c r="AE88" s="79"/>
      <c r="AF88" s="79"/>
      <c r="AG88" s="79"/>
      <c r="AH88" s="79"/>
    </row>
    <row r="89" spans="1:34" x14ac:dyDescent="0.2">
      <c r="A89" s="74">
        <v>78</v>
      </c>
      <c r="B89" s="75"/>
      <c r="C89" s="78"/>
      <c r="D89" s="78"/>
      <c r="E89" s="76"/>
      <c r="F89" s="77"/>
      <c r="G89" s="79"/>
      <c r="H89" s="84">
        <f t="shared" si="27"/>
        <v>0</v>
      </c>
      <c r="I89" s="84">
        <f t="shared" si="28"/>
        <v>0</v>
      </c>
      <c r="J89" s="79"/>
      <c r="K89" s="84">
        <f t="shared" si="29"/>
        <v>0</v>
      </c>
      <c r="L89" s="79"/>
      <c r="M89" s="84">
        <f t="shared" si="30"/>
        <v>0</v>
      </c>
      <c r="N89" s="79"/>
      <c r="O89" s="84">
        <f t="shared" si="31"/>
        <v>0</v>
      </c>
      <c r="P89" s="84">
        <f t="shared" si="32"/>
        <v>0</v>
      </c>
      <c r="Q89" s="84">
        <f t="shared" si="33"/>
        <v>0</v>
      </c>
      <c r="R89" s="85">
        <f t="shared" si="34"/>
        <v>0</v>
      </c>
      <c r="S89" s="85">
        <f t="shared" si="35"/>
        <v>0</v>
      </c>
      <c r="T89" s="79"/>
      <c r="U89" s="79"/>
      <c r="V89" s="79"/>
      <c r="W89" s="79"/>
      <c r="X89" s="79"/>
      <c r="Y89" s="82"/>
      <c r="Z89" s="79"/>
      <c r="AA89" s="79"/>
      <c r="AB89" s="79"/>
      <c r="AC89" s="79"/>
      <c r="AD89" s="79"/>
      <c r="AE89" s="79"/>
      <c r="AF89" s="79"/>
      <c r="AG89" s="79"/>
      <c r="AH89" s="79"/>
    </row>
    <row r="90" spans="1:34" x14ac:dyDescent="0.2">
      <c r="A90" s="74">
        <v>79</v>
      </c>
      <c r="B90" s="75"/>
      <c r="C90" s="78"/>
      <c r="D90" s="78"/>
      <c r="E90" s="76"/>
      <c r="F90" s="77"/>
      <c r="G90" s="79"/>
      <c r="H90" s="84">
        <f t="shared" si="27"/>
        <v>0</v>
      </c>
      <c r="I90" s="84">
        <f t="shared" si="28"/>
        <v>0</v>
      </c>
      <c r="J90" s="79"/>
      <c r="K90" s="84">
        <f t="shared" si="29"/>
        <v>0</v>
      </c>
      <c r="L90" s="79"/>
      <c r="M90" s="84">
        <f t="shared" si="30"/>
        <v>0</v>
      </c>
      <c r="N90" s="79"/>
      <c r="O90" s="84">
        <f t="shared" si="31"/>
        <v>0</v>
      </c>
      <c r="P90" s="84">
        <f t="shared" si="32"/>
        <v>0</v>
      </c>
      <c r="Q90" s="84">
        <f t="shared" si="33"/>
        <v>0</v>
      </c>
      <c r="R90" s="85">
        <f t="shared" si="34"/>
        <v>0</v>
      </c>
      <c r="S90" s="85">
        <f t="shared" si="35"/>
        <v>0</v>
      </c>
      <c r="T90" s="79"/>
      <c r="U90" s="79"/>
      <c r="V90" s="79"/>
      <c r="W90" s="79"/>
      <c r="X90" s="79"/>
      <c r="Y90" s="82"/>
      <c r="Z90" s="79"/>
      <c r="AA90" s="79"/>
      <c r="AB90" s="79"/>
      <c r="AC90" s="79"/>
      <c r="AD90" s="79"/>
      <c r="AE90" s="79"/>
      <c r="AF90" s="79"/>
      <c r="AG90" s="79"/>
      <c r="AH90" s="79"/>
    </row>
    <row r="91" spans="1:34" x14ac:dyDescent="0.2">
      <c r="A91" s="74">
        <v>80</v>
      </c>
      <c r="B91" s="75"/>
      <c r="C91" s="78"/>
      <c r="D91" s="78"/>
      <c r="E91" s="76"/>
      <c r="F91" s="77"/>
      <c r="G91" s="79"/>
      <c r="H91" s="84">
        <f t="shared" si="27"/>
        <v>0</v>
      </c>
      <c r="I91" s="84">
        <f t="shared" si="28"/>
        <v>0</v>
      </c>
      <c r="J91" s="79"/>
      <c r="K91" s="84">
        <f t="shared" si="29"/>
        <v>0</v>
      </c>
      <c r="L91" s="79"/>
      <c r="M91" s="84">
        <f t="shared" si="30"/>
        <v>0</v>
      </c>
      <c r="N91" s="79"/>
      <c r="O91" s="84">
        <f t="shared" si="31"/>
        <v>0</v>
      </c>
      <c r="P91" s="84">
        <f t="shared" si="32"/>
        <v>0</v>
      </c>
      <c r="Q91" s="84">
        <f t="shared" si="33"/>
        <v>0</v>
      </c>
      <c r="R91" s="85">
        <f t="shared" si="34"/>
        <v>0</v>
      </c>
      <c r="S91" s="85">
        <f t="shared" si="35"/>
        <v>0</v>
      </c>
      <c r="T91" s="79"/>
      <c r="U91" s="79"/>
      <c r="V91" s="79"/>
      <c r="W91" s="79"/>
      <c r="X91" s="79"/>
      <c r="Y91" s="82"/>
      <c r="Z91" s="79"/>
      <c r="AA91" s="79"/>
      <c r="AB91" s="79"/>
      <c r="AC91" s="79"/>
      <c r="AD91" s="79"/>
      <c r="AE91" s="79"/>
      <c r="AF91" s="79"/>
      <c r="AG91" s="79"/>
      <c r="AH91" s="79"/>
    </row>
    <row r="92" spans="1:34" x14ac:dyDescent="0.2">
      <c r="A92" s="74">
        <v>81</v>
      </c>
      <c r="B92" s="75"/>
      <c r="C92" s="78"/>
      <c r="D92" s="78"/>
      <c r="E92" s="76"/>
      <c r="F92" s="77"/>
      <c r="G92" s="79"/>
      <c r="H92" s="84">
        <f t="shared" si="27"/>
        <v>0</v>
      </c>
      <c r="I92" s="84">
        <f t="shared" si="28"/>
        <v>0</v>
      </c>
      <c r="J92" s="79"/>
      <c r="K92" s="84">
        <f t="shared" si="29"/>
        <v>0</v>
      </c>
      <c r="L92" s="79"/>
      <c r="M92" s="84">
        <f t="shared" si="30"/>
        <v>0</v>
      </c>
      <c r="N92" s="79"/>
      <c r="O92" s="84">
        <f t="shared" si="31"/>
        <v>0</v>
      </c>
      <c r="P92" s="84">
        <f t="shared" si="32"/>
        <v>0</v>
      </c>
      <c r="Q92" s="84">
        <f t="shared" si="33"/>
        <v>0</v>
      </c>
      <c r="R92" s="85">
        <f t="shared" si="34"/>
        <v>0</v>
      </c>
      <c r="S92" s="85">
        <f t="shared" si="35"/>
        <v>0</v>
      </c>
      <c r="T92" s="79"/>
      <c r="U92" s="79"/>
      <c r="V92" s="79"/>
      <c r="W92" s="79"/>
      <c r="X92" s="79"/>
      <c r="Y92" s="82"/>
      <c r="Z92" s="79"/>
      <c r="AA92" s="79"/>
      <c r="AB92" s="79"/>
      <c r="AC92" s="79"/>
      <c r="AD92" s="79"/>
      <c r="AE92" s="79"/>
      <c r="AF92" s="79"/>
      <c r="AG92" s="79"/>
      <c r="AH92" s="79"/>
    </row>
    <row r="93" spans="1:34" x14ac:dyDescent="0.2">
      <c r="A93" s="74">
        <v>82</v>
      </c>
      <c r="B93" s="75"/>
      <c r="C93" s="78"/>
      <c r="D93" s="78"/>
      <c r="E93" s="76"/>
      <c r="F93" s="77"/>
      <c r="G93" s="83"/>
      <c r="H93" s="84">
        <f t="shared" si="27"/>
        <v>0</v>
      </c>
      <c r="I93" s="84">
        <f t="shared" si="28"/>
        <v>0</v>
      </c>
      <c r="J93" s="79"/>
      <c r="K93" s="84">
        <f t="shared" si="29"/>
        <v>0</v>
      </c>
      <c r="L93" s="79"/>
      <c r="M93" s="84">
        <f t="shared" si="30"/>
        <v>0</v>
      </c>
      <c r="N93" s="79"/>
      <c r="O93" s="84">
        <f t="shared" si="31"/>
        <v>0</v>
      </c>
      <c r="P93" s="84">
        <f t="shared" si="32"/>
        <v>0</v>
      </c>
      <c r="Q93" s="84">
        <f t="shared" si="33"/>
        <v>0</v>
      </c>
      <c r="R93" s="85">
        <f t="shared" si="34"/>
        <v>0</v>
      </c>
      <c r="S93" s="85">
        <f t="shared" si="35"/>
        <v>0</v>
      </c>
      <c r="T93" s="79"/>
      <c r="U93" s="79"/>
      <c r="V93" s="79"/>
      <c r="W93" s="79"/>
      <c r="X93" s="79"/>
      <c r="Y93" s="82"/>
      <c r="Z93" s="79"/>
      <c r="AA93" s="79"/>
      <c r="AB93" s="79"/>
      <c r="AC93" s="79"/>
      <c r="AD93" s="79"/>
      <c r="AE93" s="79"/>
      <c r="AF93" s="79"/>
      <c r="AG93" s="79"/>
      <c r="AH93" s="79"/>
    </row>
    <row r="94" spans="1:34" x14ac:dyDescent="0.2">
      <c r="A94" s="74">
        <v>83</v>
      </c>
      <c r="B94" s="75"/>
      <c r="C94" s="78"/>
      <c r="D94" s="78"/>
      <c r="E94" s="76"/>
      <c r="F94" s="77"/>
      <c r="G94" s="79"/>
      <c r="H94" s="84">
        <f t="shared" si="27"/>
        <v>0</v>
      </c>
      <c r="I94" s="84">
        <f t="shared" si="28"/>
        <v>0</v>
      </c>
      <c r="J94" s="79"/>
      <c r="K94" s="84">
        <f t="shared" si="29"/>
        <v>0</v>
      </c>
      <c r="L94" s="79"/>
      <c r="M94" s="84">
        <f t="shared" si="30"/>
        <v>0</v>
      </c>
      <c r="N94" s="79"/>
      <c r="O94" s="84">
        <f t="shared" si="31"/>
        <v>0</v>
      </c>
      <c r="P94" s="84">
        <f t="shared" si="32"/>
        <v>0</v>
      </c>
      <c r="Q94" s="84">
        <f t="shared" si="33"/>
        <v>0</v>
      </c>
      <c r="R94" s="85">
        <f t="shared" si="34"/>
        <v>0</v>
      </c>
      <c r="S94" s="85">
        <f t="shared" si="35"/>
        <v>0</v>
      </c>
      <c r="T94" s="79"/>
      <c r="U94" s="79"/>
      <c r="V94" s="79"/>
      <c r="W94" s="79"/>
      <c r="X94" s="79"/>
      <c r="Y94" s="82"/>
      <c r="Z94" s="79"/>
      <c r="AA94" s="79"/>
      <c r="AB94" s="79"/>
      <c r="AC94" s="79"/>
      <c r="AD94" s="79"/>
      <c r="AE94" s="79"/>
      <c r="AF94" s="79"/>
      <c r="AG94" s="79"/>
      <c r="AH94" s="79"/>
    </row>
    <row r="95" spans="1:34" x14ac:dyDescent="0.2">
      <c r="A95" s="74">
        <v>84</v>
      </c>
      <c r="B95" s="75"/>
      <c r="C95" s="78"/>
      <c r="D95" s="78"/>
      <c r="E95" s="76"/>
      <c r="F95" s="77"/>
      <c r="G95" s="79"/>
      <c r="H95" s="84">
        <f t="shared" si="27"/>
        <v>0</v>
      </c>
      <c r="I95" s="84">
        <f t="shared" si="28"/>
        <v>0</v>
      </c>
      <c r="J95" s="79"/>
      <c r="K95" s="84">
        <f t="shared" si="29"/>
        <v>0</v>
      </c>
      <c r="L95" s="79"/>
      <c r="M95" s="84">
        <f t="shared" si="30"/>
        <v>0</v>
      </c>
      <c r="N95" s="79"/>
      <c r="O95" s="84">
        <f t="shared" si="31"/>
        <v>0</v>
      </c>
      <c r="P95" s="84">
        <f t="shared" si="32"/>
        <v>0</v>
      </c>
      <c r="Q95" s="84">
        <f t="shared" si="33"/>
        <v>0</v>
      </c>
      <c r="R95" s="85">
        <f t="shared" si="34"/>
        <v>0</v>
      </c>
      <c r="S95" s="85">
        <f t="shared" si="35"/>
        <v>0</v>
      </c>
      <c r="T95" s="79"/>
      <c r="U95" s="79"/>
      <c r="V95" s="79"/>
      <c r="W95" s="79"/>
      <c r="X95" s="79"/>
      <c r="Y95" s="82"/>
      <c r="Z95" s="79"/>
      <c r="AA95" s="79"/>
      <c r="AB95" s="79"/>
      <c r="AC95" s="79"/>
      <c r="AD95" s="79"/>
      <c r="AE95" s="79"/>
      <c r="AF95" s="79"/>
      <c r="AG95" s="79"/>
      <c r="AH95" s="79"/>
    </row>
    <row r="96" spans="1:34" x14ac:dyDescent="0.2">
      <c r="A96" s="74">
        <v>85</v>
      </c>
      <c r="B96" s="75"/>
      <c r="C96" s="78"/>
      <c r="D96" s="78"/>
      <c r="E96" s="76"/>
      <c r="F96" s="77"/>
      <c r="G96" s="79"/>
      <c r="H96" s="84">
        <f t="shared" si="27"/>
        <v>0</v>
      </c>
      <c r="I96" s="84">
        <f t="shared" si="28"/>
        <v>0</v>
      </c>
      <c r="J96" s="79"/>
      <c r="K96" s="84">
        <f t="shared" si="29"/>
        <v>0</v>
      </c>
      <c r="L96" s="79"/>
      <c r="M96" s="84">
        <f t="shared" si="30"/>
        <v>0</v>
      </c>
      <c r="N96" s="79"/>
      <c r="O96" s="84">
        <f t="shared" si="31"/>
        <v>0</v>
      </c>
      <c r="P96" s="84">
        <f t="shared" si="32"/>
        <v>0</v>
      </c>
      <c r="Q96" s="84">
        <f t="shared" si="33"/>
        <v>0</v>
      </c>
      <c r="R96" s="85">
        <f t="shared" si="34"/>
        <v>0</v>
      </c>
      <c r="S96" s="85">
        <f t="shared" si="35"/>
        <v>0</v>
      </c>
      <c r="T96" s="79"/>
      <c r="U96" s="79"/>
      <c r="V96" s="79"/>
      <c r="W96" s="79"/>
      <c r="X96" s="79"/>
      <c r="Y96" s="82"/>
      <c r="Z96" s="79"/>
      <c r="AA96" s="79"/>
      <c r="AB96" s="79"/>
      <c r="AC96" s="79"/>
      <c r="AD96" s="79"/>
      <c r="AE96" s="79"/>
      <c r="AF96" s="79"/>
      <c r="AG96" s="79"/>
      <c r="AH96" s="79"/>
    </row>
    <row r="97" spans="1:34" x14ac:dyDescent="0.2">
      <c r="A97" s="74">
        <v>86</v>
      </c>
      <c r="B97" s="75"/>
      <c r="C97" s="78"/>
      <c r="D97" s="78"/>
      <c r="E97" s="76"/>
      <c r="F97" s="77"/>
      <c r="G97" s="79"/>
      <c r="H97" s="84">
        <f t="shared" si="27"/>
        <v>0</v>
      </c>
      <c r="I97" s="84">
        <f t="shared" si="28"/>
        <v>0</v>
      </c>
      <c r="J97" s="79"/>
      <c r="K97" s="84">
        <f t="shared" si="29"/>
        <v>0</v>
      </c>
      <c r="L97" s="79"/>
      <c r="M97" s="84">
        <f t="shared" si="30"/>
        <v>0</v>
      </c>
      <c r="N97" s="79"/>
      <c r="O97" s="84">
        <f t="shared" si="31"/>
        <v>0</v>
      </c>
      <c r="P97" s="84">
        <f t="shared" si="32"/>
        <v>0</v>
      </c>
      <c r="Q97" s="84">
        <f t="shared" si="33"/>
        <v>0</v>
      </c>
      <c r="R97" s="85">
        <f t="shared" si="34"/>
        <v>0</v>
      </c>
      <c r="S97" s="85">
        <f t="shared" si="35"/>
        <v>0</v>
      </c>
      <c r="T97" s="79"/>
      <c r="U97" s="79"/>
      <c r="V97" s="79"/>
      <c r="W97" s="79"/>
      <c r="X97" s="79"/>
      <c r="Y97" s="82"/>
      <c r="Z97" s="79"/>
      <c r="AA97" s="79"/>
      <c r="AB97" s="79"/>
      <c r="AC97" s="79"/>
      <c r="AD97" s="79"/>
      <c r="AE97" s="79"/>
      <c r="AF97" s="79"/>
      <c r="AG97" s="79"/>
      <c r="AH97" s="79"/>
    </row>
    <row r="98" spans="1:34" x14ac:dyDescent="0.2">
      <c r="A98" s="74">
        <v>87</v>
      </c>
      <c r="B98" s="75"/>
      <c r="C98" s="78"/>
      <c r="D98" s="78"/>
      <c r="E98" s="76"/>
      <c r="F98" s="77"/>
      <c r="G98" s="79"/>
      <c r="H98" s="84">
        <f t="shared" si="27"/>
        <v>0</v>
      </c>
      <c r="I98" s="84">
        <f t="shared" si="28"/>
        <v>0</v>
      </c>
      <c r="J98" s="79"/>
      <c r="K98" s="84">
        <f t="shared" si="29"/>
        <v>0</v>
      </c>
      <c r="L98" s="79"/>
      <c r="M98" s="84">
        <f t="shared" si="30"/>
        <v>0</v>
      </c>
      <c r="N98" s="79"/>
      <c r="O98" s="84">
        <f t="shared" si="31"/>
        <v>0</v>
      </c>
      <c r="P98" s="84">
        <f t="shared" si="32"/>
        <v>0</v>
      </c>
      <c r="Q98" s="84">
        <f t="shared" si="33"/>
        <v>0</v>
      </c>
      <c r="R98" s="85">
        <f t="shared" si="34"/>
        <v>0</v>
      </c>
      <c r="S98" s="85">
        <f t="shared" si="35"/>
        <v>0</v>
      </c>
      <c r="T98" s="79"/>
      <c r="U98" s="79"/>
      <c r="V98" s="79"/>
      <c r="W98" s="79"/>
      <c r="X98" s="79"/>
      <c r="Y98" s="82"/>
      <c r="Z98" s="79"/>
      <c r="AA98" s="79"/>
      <c r="AB98" s="79"/>
      <c r="AC98" s="79"/>
      <c r="AD98" s="79"/>
      <c r="AE98" s="79"/>
      <c r="AF98" s="79"/>
      <c r="AG98" s="79"/>
      <c r="AH98" s="79"/>
    </row>
    <row r="99" spans="1:34" x14ac:dyDescent="0.2">
      <c r="A99" s="74">
        <v>88</v>
      </c>
      <c r="B99" s="75"/>
      <c r="C99" s="78"/>
      <c r="D99" s="78"/>
      <c r="E99" s="76"/>
      <c r="F99" s="77"/>
      <c r="G99" s="79"/>
      <c r="H99" s="84">
        <f t="shared" si="27"/>
        <v>0</v>
      </c>
      <c r="I99" s="84">
        <f t="shared" si="28"/>
        <v>0</v>
      </c>
      <c r="J99" s="79"/>
      <c r="K99" s="84">
        <f t="shared" si="29"/>
        <v>0</v>
      </c>
      <c r="L99" s="79"/>
      <c r="M99" s="84">
        <f t="shared" si="30"/>
        <v>0</v>
      </c>
      <c r="N99" s="79"/>
      <c r="O99" s="84">
        <f t="shared" si="31"/>
        <v>0</v>
      </c>
      <c r="P99" s="84">
        <f t="shared" si="32"/>
        <v>0</v>
      </c>
      <c r="Q99" s="84">
        <f t="shared" si="33"/>
        <v>0</v>
      </c>
      <c r="R99" s="85">
        <f t="shared" si="34"/>
        <v>0</v>
      </c>
      <c r="S99" s="85">
        <f t="shared" si="35"/>
        <v>0</v>
      </c>
      <c r="T99" s="79"/>
      <c r="U99" s="79"/>
      <c r="V99" s="79"/>
      <c r="W99" s="79"/>
      <c r="X99" s="79"/>
      <c r="Y99" s="82"/>
      <c r="Z99" s="79"/>
      <c r="AA99" s="79"/>
      <c r="AB99" s="79"/>
      <c r="AC99" s="79"/>
      <c r="AD99" s="79"/>
      <c r="AE99" s="79"/>
      <c r="AF99" s="79"/>
      <c r="AG99" s="79"/>
      <c r="AH99" s="79"/>
    </row>
    <row r="100" spans="1:34" x14ac:dyDescent="0.2">
      <c r="A100" s="74">
        <v>89</v>
      </c>
      <c r="B100" s="75"/>
      <c r="C100" s="78"/>
      <c r="D100" s="78"/>
      <c r="E100" s="76"/>
      <c r="F100" s="77"/>
      <c r="G100" s="79"/>
      <c r="H100" s="84">
        <f t="shared" si="27"/>
        <v>0</v>
      </c>
      <c r="I100" s="84">
        <f t="shared" si="28"/>
        <v>0</v>
      </c>
      <c r="J100" s="79"/>
      <c r="K100" s="84">
        <f t="shared" si="29"/>
        <v>0</v>
      </c>
      <c r="L100" s="79"/>
      <c r="M100" s="84">
        <f t="shared" si="30"/>
        <v>0</v>
      </c>
      <c r="N100" s="79"/>
      <c r="O100" s="84">
        <f t="shared" si="31"/>
        <v>0</v>
      </c>
      <c r="P100" s="84">
        <f t="shared" si="32"/>
        <v>0</v>
      </c>
      <c r="Q100" s="84">
        <f t="shared" si="33"/>
        <v>0</v>
      </c>
      <c r="R100" s="85">
        <f t="shared" si="34"/>
        <v>0</v>
      </c>
      <c r="S100" s="85">
        <f t="shared" si="35"/>
        <v>0</v>
      </c>
      <c r="T100" s="79"/>
      <c r="U100" s="79"/>
      <c r="V100" s="79"/>
      <c r="W100" s="79"/>
      <c r="X100" s="79"/>
      <c r="Y100" s="82"/>
      <c r="Z100" s="79"/>
      <c r="AA100" s="79"/>
      <c r="AB100" s="79"/>
      <c r="AC100" s="79"/>
      <c r="AD100" s="79"/>
      <c r="AE100" s="79"/>
      <c r="AF100" s="79"/>
      <c r="AG100" s="79"/>
      <c r="AH100" s="79"/>
    </row>
    <row r="101" spans="1:34" x14ac:dyDescent="0.2">
      <c r="A101" s="74">
        <v>90</v>
      </c>
      <c r="B101" s="75"/>
      <c r="C101" s="78"/>
      <c r="D101" s="78"/>
      <c r="E101" s="76"/>
      <c r="F101" s="77"/>
      <c r="G101" s="79"/>
      <c r="H101" s="84">
        <f t="shared" si="27"/>
        <v>0</v>
      </c>
      <c r="I101" s="84">
        <f t="shared" si="28"/>
        <v>0</v>
      </c>
      <c r="J101" s="79"/>
      <c r="K101" s="84">
        <f t="shared" si="29"/>
        <v>0</v>
      </c>
      <c r="L101" s="79"/>
      <c r="M101" s="84">
        <f t="shared" si="30"/>
        <v>0</v>
      </c>
      <c r="N101" s="79"/>
      <c r="O101" s="84">
        <f t="shared" si="31"/>
        <v>0</v>
      </c>
      <c r="P101" s="84">
        <f t="shared" si="32"/>
        <v>0</v>
      </c>
      <c r="Q101" s="84">
        <f t="shared" si="33"/>
        <v>0</v>
      </c>
      <c r="R101" s="85">
        <f t="shared" si="34"/>
        <v>0</v>
      </c>
      <c r="S101" s="85">
        <f t="shared" si="35"/>
        <v>0</v>
      </c>
      <c r="T101" s="79"/>
      <c r="U101" s="79"/>
      <c r="V101" s="79"/>
      <c r="W101" s="79"/>
      <c r="X101" s="79"/>
      <c r="Y101" s="82"/>
      <c r="Z101" s="79"/>
      <c r="AA101" s="79"/>
      <c r="AB101" s="79"/>
      <c r="AC101" s="79"/>
      <c r="AD101" s="79"/>
      <c r="AE101" s="79"/>
      <c r="AF101" s="79"/>
      <c r="AG101" s="79"/>
      <c r="AH101" s="79"/>
    </row>
    <row r="102" spans="1:34" x14ac:dyDescent="0.2">
      <c r="A102" s="74">
        <v>91</v>
      </c>
      <c r="B102" s="75"/>
      <c r="C102" s="78"/>
      <c r="D102" s="78"/>
      <c r="E102" s="76"/>
      <c r="F102" s="77"/>
      <c r="G102" s="83"/>
      <c r="H102" s="84">
        <f t="shared" si="27"/>
        <v>0</v>
      </c>
      <c r="I102" s="84">
        <f t="shared" si="28"/>
        <v>0</v>
      </c>
      <c r="J102" s="79"/>
      <c r="K102" s="84">
        <f t="shared" si="29"/>
        <v>0</v>
      </c>
      <c r="L102" s="79"/>
      <c r="M102" s="84">
        <f t="shared" si="30"/>
        <v>0</v>
      </c>
      <c r="N102" s="79"/>
      <c r="O102" s="84">
        <f t="shared" si="31"/>
        <v>0</v>
      </c>
      <c r="P102" s="84">
        <f t="shared" si="32"/>
        <v>0</v>
      </c>
      <c r="Q102" s="84">
        <f t="shared" si="33"/>
        <v>0</v>
      </c>
      <c r="R102" s="85">
        <f t="shared" si="34"/>
        <v>0</v>
      </c>
      <c r="S102" s="85">
        <f t="shared" si="35"/>
        <v>0</v>
      </c>
      <c r="T102" s="79"/>
      <c r="U102" s="79"/>
      <c r="V102" s="79"/>
      <c r="W102" s="79"/>
      <c r="X102" s="79"/>
      <c r="Y102" s="82"/>
      <c r="Z102" s="79"/>
      <c r="AA102" s="79"/>
      <c r="AB102" s="79"/>
      <c r="AC102" s="79"/>
      <c r="AD102" s="79"/>
      <c r="AE102" s="79"/>
      <c r="AF102" s="79"/>
      <c r="AG102" s="79"/>
      <c r="AH102" s="79"/>
    </row>
    <row r="103" spans="1:34" x14ac:dyDescent="0.2">
      <c r="A103" s="74">
        <v>92</v>
      </c>
      <c r="B103" s="75"/>
      <c r="C103" s="78"/>
      <c r="D103" s="78"/>
      <c r="E103" s="76"/>
      <c r="F103" s="77"/>
      <c r="G103" s="79"/>
      <c r="H103" s="84">
        <f t="shared" si="27"/>
        <v>0</v>
      </c>
      <c r="I103" s="84">
        <f t="shared" si="28"/>
        <v>0</v>
      </c>
      <c r="J103" s="79"/>
      <c r="K103" s="84">
        <f t="shared" si="29"/>
        <v>0</v>
      </c>
      <c r="L103" s="79"/>
      <c r="M103" s="84">
        <f t="shared" si="30"/>
        <v>0</v>
      </c>
      <c r="N103" s="79"/>
      <c r="O103" s="84">
        <f t="shared" si="31"/>
        <v>0</v>
      </c>
      <c r="P103" s="84">
        <f t="shared" si="32"/>
        <v>0</v>
      </c>
      <c r="Q103" s="84">
        <f t="shared" si="33"/>
        <v>0</v>
      </c>
      <c r="R103" s="85">
        <f t="shared" si="34"/>
        <v>0</v>
      </c>
      <c r="S103" s="85">
        <f t="shared" si="35"/>
        <v>0</v>
      </c>
      <c r="T103" s="79"/>
      <c r="U103" s="79"/>
      <c r="V103" s="79"/>
      <c r="W103" s="79"/>
      <c r="X103" s="79"/>
      <c r="Y103" s="82"/>
      <c r="Z103" s="79"/>
      <c r="AA103" s="79"/>
      <c r="AB103" s="79"/>
      <c r="AC103" s="79"/>
      <c r="AD103" s="79"/>
      <c r="AE103" s="79"/>
      <c r="AF103" s="79"/>
      <c r="AG103" s="79"/>
      <c r="AH103" s="79"/>
    </row>
    <row r="104" spans="1:34" x14ac:dyDescent="0.2">
      <c r="A104" s="74">
        <v>93</v>
      </c>
      <c r="B104" s="75"/>
      <c r="C104" s="78"/>
      <c r="D104" s="78"/>
      <c r="E104" s="76"/>
      <c r="F104" s="77"/>
      <c r="G104" s="79"/>
      <c r="H104" s="84">
        <f t="shared" si="27"/>
        <v>0</v>
      </c>
      <c r="I104" s="84">
        <f t="shared" si="28"/>
        <v>0</v>
      </c>
      <c r="J104" s="79"/>
      <c r="K104" s="84">
        <f t="shared" si="29"/>
        <v>0</v>
      </c>
      <c r="L104" s="79"/>
      <c r="M104" s="84">
        <f t="shared" si="30"/>
        <v>0</v>
      </c>
      <c r="N104" s="79"/>
      <c r="O104" s="84">
        <f t="shared" si="31"/>
        <v>0</v>
      </c>
      <c r="P104" s="84">
        <f t="shared" si="32"/>
        <v>0</v>
      </c>
      <c r="Q104" s="84">
        <f t="shared" si="33"/>
        <v>0</v>
      </c>
      <c r="R104" s="85">
        <f t="shared" si="34"/>
        <v>0</v>
      </c>
      <c r="S104" s="85">
        <f t="shared" si="35"/>
        <v>0</v>
      </c>
      <c r="T104" s="79"/>
      <c r="U104" s="79"/>
      <c r="V104" s="79"/>
      <c r="W104" s="79"/>
      <c r="X104" s="79"/>
      <c r="Y104" s="82"/>
      <c r="Z104" s="79"/>
      <c r="AA104" s="79"/>
      <c r="AB104" s="79"/>
      <c r="AC104" s="79"/>
      <c r="AD104" s="79"/>
      <c r="AE104" s="79"/>
      <c r="AF104" s="79"/>
      <c r="AG104" s="79"/>
      <c r="AH104" s="79"/>
    </row>
    <row r="105" spans="1:34" x14ac:dyDescent="0.2">
      <c r="A105" s="74">
        <v>94</v>
      </c>
      <c r="B105" s="75"/>
      <c r="C105" s="78"/>
      <c r="D105" s="78"/>
      <c r="E105" s="76"/>
      <c r="F105" s="77"/>
      <c r="G105" s="79"/>
      <c r="H105" s="84">
        <f t="shared" si="27"/>
        <v>0</v>
      </c>
      <c r="I105" s="84">
        <f t="shared" si="28"/>
        <v>0</v>
      </c>
      <c r="J105" s="79"/>
      <c r="K105" s="84">
        <f t="shared" si="29"/>
        <v>0</v>
      </c>
      <c r="L105" s="79"/>
      <c r="M105" s="84">
        <f t="shared" si="30"/>
        <v>0</v>
      </c>
      <c r="N105" s="79"/>
      <c r="O105" s="84">
        <f t="shared" si="31"/>
        <v>0</v>
      </c>
      <c r="P105" s="84">
        <f t="shared" si="32"/>
        <v>0</v>
      </c>
      <c r="Q105" s="84">
        <f t="shared" si="33"/>
        <v>0</v>
      </c>
      <c r="R105" s="85">
        <f t="shared" si="34"/>
        <v>0</v>
      </c>
      <c r="S105" s="85">
        <f t="shared" si="35"/>
        <v>0</v>
      </c>
      <c r="T105" s="79"/>
      <c r="U105" s="79"/>
      <c r="V105" s="79"/>
      <c r="W105" s="79"/>
      <c r="X105" s="79"/>
      <c r="Y105" s="82"/>
      <c r="Z105" s="79"/>
      <c r="AA105" s="79"/>
      <c r="AB105" s="79"/>
      <c r="AC105" s="79"/>
      <c r="AD105" s="79"/>
      <c r="AE105" s="79"/>
      <c r="AF105" s="79"/>
      <c r="AG105" s="79"/>
      <c r="AH105" s="79"/>
    </row>
    <row r="106" spans="1:34" x14ac:dyDescent="0.2">
      <c r="A106" s="74">
        <v>95</v>
      </c>
      <c r="B106" s="75"/>
      <c r="C106" s="78"/>
      <c r="D106" s="78"/>
      <c r="E106" s="76"/>
      <c r="F106" s="77"/>
      <c r="G106" s="79"/>
      <c r="H106" s="84">
        <f t="shared" si="27"/>
        <v>0</v>
      </c>
      <c r="I106" s="84">
        <f t="shared" si="28"/>
        <v>0</v>
      </c>
      <c r="J106" s="79"/>
      <c r="K106" s="84">
        <f t="shared" si="29"/>
        <v>0</v>
      </c>
      <c r="L106" s="79"/>
      <c r="M106" s="84">
        <f t="shared" si="30"/>
        <v>0</v>
      </c>
      <c r="N106" s="79"/>
      <c r="O106" s="84">
        <f t="shared" si="31"/>
        <v>0</v>
      </c>
      <c r="P106" s="84">
        <f t="shared" si="32"/>
        <v>0</v>
      </c>
      <c r="Q106" s="84">
        <f t="shared" si="33"/>
        <v>0</v>
      </c>
      <c r="R106" s="85">
        <f t="shared" si="34"/>
        <v>0</v>
      </c>
      <c r="S106" s="85">
        <f t="shared" si="35"/>
        <v>0</v>
      </c>
      <c r="T106" s="79"/>
      <c r="U106" s="79"/>
      <c r="V106" s="79"/>
      <c r="W106" s="79"/>
      <c r="X106" s="79"/>
      <c r="Y106" s="82"/>
      <c r="Z106" s="79"/>
      <c r="AA106" s="79"/>
      <c r="AB106" s="79"/>
      <c r="AC106" s="79"/>
      <c r="AD106" s="79"/>
      <c r="AE106" s="79"/>
      <c r="AF106" s="79"/>
      <c r="AG106" s="79"/>
      <c r="AH106" s="79"/>
    </row>
    <row r="107" spans="1:34" x14ac:dyDescent="0.2">
      <c r="A107" s="74">
        <v>96</v>
      </c>
      <c r="B107" s="75"/>
      <c r="C107" s="78"/>
      <c r="D107" s="78"/>
      <c r="E107" s="76"/>
      <c r="F107" s="77"/>
      <c r="G107" s="79"/>
      <c r="H107" s="84">
        <f t="shared" si="27"/>
        <v>0</v>
      </c>
      <c r="I107" s="84">
        <f t="shared" si="28"/>
        <v>0</v>
      </c>
      <c r="J107" s="79"/>
      <c r="K107" s="84">
        <f t="shared" si="29"/>
        <v>0</v>
      </c>
      <c r="L107" s="79"/>
      <c r="M107" s="84">
        <f t="shared" si="30"/>
        <v>0</v>
      </c>
      <c r="N107" s="79"/>
      <c r="O107" s="84">
        <f t="shared" si="31"/>
        <v>0</v>
      </c>
      <c r="P107" s="84">
        <f t="shared" si="32"/>
        <v>0</v>
      </c>
      <c r="Q107" s="84">
        <f t="shared" si="33"/>
        <v>0</v>
      </c>
      <c r="R107" s="85">
        <f t="shared" si="34"/>
        <v>0</v>
      </c>
      <c r="S107" s="85">
        <f t="shared" si="35"/>
        <v>0</v>
      </c>
      <c r="T107" s="79"/>
      <c r="U107" s="79"/>
      <c r="V107" s="79"/>
      <c r="W107" s="79"/>
      <c r="X107" s="79"/>
      <c r="Y107" s="82"/>
      <c r="Z107" s="79"/>
      <c r="AA107" s="79"/>
      <c r="AB107" s="79"/>
      <c r="AC107" s="79"/>
      <c r="AD107" s="79"/>
      <c r="AE107" s="79"/>
      <c r="AF107" s="79"/>
      <c r="AG107" s="79"/>
      <c r="AH107" s="79"/>
    </row>
    <row r="108" spans="1:34" x14ac:dyDescent="0.2">
      <c r="A108" s="74">
        <v>97</v>
      </c>
      <c r="B108" s="75"/>
      <c r="C108" s="78"/>
      <c r="D108" s="78"/>
      <c r="E108" s="76"/>
      <c r="F108" s="77"/>
      <c r="G108" s="79"/>
      <c r="H108" s="84">
        <f t="shared" si="27"/>
        <v>0</v>
      </c>
      <c r="I108" s="84">
        <f t="shared" si="28"/>
        <v>0</v>
      </c>
      <c r="J108" s="79"/>
      <c r="K108" s="84">
        <f t="shared" si="29"/>
        <v>0</v>
      </c>
      <c r="L108" s="79"/>
      <c r="M108" s="84">
        <f t="shared" si="30"/>
        <v>0</v>
      </c>
      <c r="N108" s="79"/>
      <c r="O108" s="84">
        <f t="shared" si="31"/>
        <v>0</v>
      </c>
      <c r="P108" s="84">
        <f t="shared" si="32"/>
        <v>0</v>
      </c>
      <c r="Q108" s="84">
        <f t="shared" si="33"/>
        <v>0</v>
      </c>
      <c r="R108" s="85">
        <f t="shared" si="34"/>
        <v>0</v>
      </c>
      <c r="S108" s="85">
        <f t="shared" si="35"/>
        <v>0</v>
      </c>
      <c r="T108" s="79"/>
      <c r="U108" s="79"/>
      <c r="V108" s="79"/>
      <c r="W108" s="79"/>
      <c r="X108" s="79"/>
      <c r="Y108" s="82"/>
      <c r="Z108" s="79"/>
      <c r="AA108" s="79"/>
      <c r="AB108" s="79"/>
      <c r="AC108" s="79"/>
      <c r="AD108" s="79"/>
      <c r="AE108" s="79"/>
      <c r="AF108" s="79"/>
      <c r="AG108" s="79"/>
      <c r="AH108" s="79"/>
    </row>
    <row r="109" spans="1:34" x14ac:dyDescent="0.2">
      <c r="A109" s="74">
        <v>98</v>
      </c>
      <c r="B109" s="75"/>
      <c r="C109" s="78"/>
      <c r="D109" s="78"/>
      <c r="E109" s="76"/>
      <c r="F109" s="77"/>
      <c r="G109" s="79"/>
      <c r="H109" s="84">
        <f t="shared" si="27"/>
        <v>0</v>
      </c>
      <c r="I109" s="84">
        <f t="shared" si="28"/>
        <v>0</v>
      </c>
      <c r="J109" s="79"/>
      <c r="K109" s="84">
        <f t="shared" si="29"/>
        <v>0</v>
      </c>
      <c r="L109" s="79"/>
      <c r="M109" s="84">
        <f t="shared" si="30"/>
        <v>0</v>
      </c>
      <c r="N109" s="79"/>
      <c r="O109" s="84">
        <f t="shared" si="31"/>
        <v>0</v>
      </c>
      <c r="P109" s="84">
        <f t="shared" si="32"/>
        <v>0</v>
      </c>
      <c r="Q109" s="84">
        <f t="shared" si="33"/>
        <v>0</v>
      </c>
      <c r="R109" s="85">
        <f t="shared" si="34"/>
        <v>0</v>
      </c>
      <c r="S109" s="85">
        <f t="shared" si="35"/>
        <v>0</v>
      </c>
      <c r="T109" s="79"/>
      <c r="U109" s="79"/>
      <c r="V109" s="79"/>
      <c r="W109" s="79"/>
      <c r="X109" s="79"/>
      <c r="Y109" s="82"/>
      <c r="Z109" s="79"/>
      <c r="AA109" s="79"/>
      <c r="AB109" s="79"/>
      <c r="AC109" s="79"/>
      <c r="AD109" s="79"/>
      <c r="AE109" s="79"/>
      <c r="AF109" s="79"/>
      <c r="AG109" s="79"/>
      <c r="AH109" s="79"/>
    </row>
    <row r="110" spans="1:34" x14ac:dyDescent="0.2">
      <c r="A110" s="74">
        <v>99</v>
      </c>
      <c r="B110" s="75"/>
      <c r="C110" s="78"/>
      <c r="D110" s="78"/>
      <c r="E110" s="76"/>
      <c r="F110" s="77"/>
      <c r="G110" s="79"/>
      <c r="H110" s="84">
        <f t="shared" si="27"/>
        <v>0</v>
      </c>
      <c r="I110" s="84">
        <f t="shared" si="28"/>
        <v>0</v>
      </c>
      <c r="J110" s="79"/>
      <c r="K110" s="84">
        <f t="shared" si="29"/>
        <v>0</v>
      </c>
      <c r="L110" s="79"/>
      <c r="M110" s="84">
        <f t="shared" si="30"/>
        <v>0</v>
      </c>
      <c r="N110" s="79"/>
      <c r="O110" s="84">
        <f t="shared" si="31"/>
        <v>0</v>
      </c>
      <c r="P110" s="84">
        <f t="shared" si="32"/>
        <v>0</v>
      </c>
      <c r="Q110" s="84">
        <f t="shared" si="33"/>
        <v>0</v>
      </c>
      <c r="R110" s="85">
        <f t="shared" si="34"/>
        <v>0</v>
      </c>
      <c r="S110" s="85">
        <f t="shared" si="35"/>
        <v>0</v>
      </c>
      <c r="T110" s="79"/>
      <c r="U110" s="79"/>
      <c r="V110" s="79"/>
      <c r="W110" s="79"/>
      <c r="X110" s="79"/>
      <c r="Y110" s="82"/>
      <c r="Z110" s="79"/>
      <c r="AA110" s="79"/>
      <c r="AB110" s="79"/>
      <c r="AC110" s="79"/>
      <c r="AD110" s="79"/>
      <c r="AE110" s="79"/>
      <c r="AF110" s="79"/>
      <c r="AG110" s="79"/>
      <c r="AH110" s="79"/>
    </row>
    <row r="111" spans="1:34" x14ac:dyDescent="0.2">
      <c r="A111" s="74">
        <v>100</v>
      </c>
      <c r="B111" s="75"/>
      <c r="C111" s="78"/>
      <c r="D111" s="78"/>
      <c r="E111" s="76"/>
      <c r="F111" s="77"/>
      <c r="G111" s="83"/>
      <c r="H111" s="84">
        <f t="shared" si="27"/>
        <v>0</v>
      </c>
      <c r="I111" s="84">
        <f t="shared" si="28"/>
        <v>0</v>
      </c>
      <c r="J111" s="79"/>
      <c r="K111" s="84">
        <f t="shared" si="29"/>
        <v>0</v>
      </c>
      <c r="L111" s="79"/>
      <c r="M111" s="84">
        <f t="shared" si="30"/>
        <v>0</v>
      </c>
      <c r="N111" s="79"/>
      <c r="O111" s="84">
        <f t="shared" si="31"/>
        <v>0</v>
      </c>
      <c r="P111" s="84">
        <f t="shared" si="32"/>
        <v>0</v>
      </c>
      <c r="Q111" s="84">
        <f t="shared" si="33"/>
        <v>0</v>
      </c>
      <c r="R111" s="85">
        <f t="shared" si="34"/>
        <v>0</v>
      </c>
      <c r="S111" s="85">
        <f t="shared" si="35"/>
        <v>0</v>
      </c>
      <c r="T111" s="79"/>
      <c r="U111" s="79"/>
      <c r="V111" s="79"/>
      <c r="W111" s="79"/>
      <c r="X111" s="79"/>
      <c r="Y111" s="82"/>
      <c r="Z111" s="79"/>
      <c r="AA111" s="79"/>
      <c r="AB111" s="79"/>
      <c r="AC111" s="79"/>
      <c r="AD111" s="79"/>
      <c r="AE111" s="79"/>
      <c r="AF111" s="79"/>
      <c r="AG111" s="79"/>
      <c r="AH111" s="79"/>
    </row>
    <row r="112" spans="1:34" x14ac:dyDescent="0.2">
      <c r="A112" s="74">
        <v>101</v>
      </c>
      <c r="B112" s="75"/>
      <c r="C112" s="78"/>
      <c r="D112" s="78"/>
      <c r="E112" s="76"/>
      <c r="F112" s="77"/>
      <c r="G112" s="79"/>
      <c r="H112" s="84">
        <f t="shared" si="27"/>
        <v>0</v>
      </c>
      <c r="I112" s="84">
        <f t="shared" si="28"/>
        <v>0</v>
      </c>
      <c r="J112" s="79"/>
      <c r="K112" s="84">
        <f t="shared" si="29"/>
        <v>0</v>
      </c>
      <c r="L112" s="79"/>
      <c r="M112" s="84">
        <f t="shared" si="30"/>
        <v>0</v>
      </c>
      <c r="N112" s="79"/>
      <c r="O112" s="84">
        <f t="shared" si="31"/>
        <v>0</v>
      </c>
      <c r="P112" s="84">
        <f t="shared" si="32"/>
        <v>0</v>
      </c>
      <c r="Q112" s="84">
        <f t="shared" si="33"/>
        <v>0</v>
      </c>
      <c r="R112" s="85">
        <f t="shared" si="34"/>
        <v>0</v>
      </c>
      <c r="S112" s="85">
        <f t="shared" si="35"/>
        <v>0</v>
      </c>
      <c r="T112" s="79"/>
      <c r="U112" s="79"/>
      <c r="V112" s="79"/>
      <c r="W112" s="79"/>
      <c r="X112" s="79"/>
      <c r="Y112" s="82"/>
      <c r="Z112" s="79"/>
      <c r="AA112" s="79"/>
      <c r="AB112" s="79"/>
      <c r="AC112" s="79"/>
      <c r="AD112" s="79"/>
      <c r="AE112" s="79"/>
      <c r="AF112" s="79"/>
      <c r="AG112" s="79"/>
      <c r="AH112" s="79"/>
    </row>
    <row r="113" spans="1:34" x14ac:dyDescent="0.2">
      <c r="A113" s="74">
        <v>102</v>
      </c>
      <c r="B113" s="75"/>
      <c r="C113" s="78"/>
      <c r="D113" s="78"/>
      <c r="E113" s="76"/>
      <c r="F113" s="77"/>
      <c r="G113" s="79"/>
      <c r="H113" s="84">
        <f t="shared" si="27"/>
        <v>0</v>
      </c>
      <c r="I113" s="84">
        <f t="shared" si="28"/>
        <v>0</v>
      </c>
      <c r="J113" s="79"/>
      <c r="K113" s="84">
        <f t="shared" si="29"/>
        <v>0</v>
      </c>
      <c r="L113" s="79"/>
      <c r="M113" s="84">
        <f t="shared" si="30"/>
        <v>0</v>
      </c>
      <c r="N113" s="79"/>
      <c r="O113" s="84">
        <f t="shared" si="31"/>
        <v>0</v>
      </c>
      <c r="P113" s="84">
        <f t="shared" si="32"/>
        <v>0</v>
      </c>
      <c r="Q113" s="84">
        <f t="shared" si="33"/>
        <v>0</v>
      </c>
      <c r="R113" s="85">
        <f t="shared" si="34"/>
        <v>0</v>
      </c>
      <c r="S113" s="85">
        <f t="shared" si="35"/>
        <v>0</v>
      </c>
      <c r="T113" s="79"/>
      <c r="U113" s="79"/>
      <c r="V113" s="79"/>
      <c r="W113" s="79"/>
      <c r="X113" s="79"/>
      <c r="Y113" s="82"/>
      <c r="Z113" s="79"/>
      <c r="AA113" s="79"/>
      <c r="AB113" s="79"/>
      <c r="AC113" s="79"/>
      <c r="AD113" s="79"/>
      <c r="AE113" s="79"/>
      <c r="AF113" s="79"/>
      <c r="AG113" s="79"/>
      <c r="AH113" s="79"/>
    </row>
    <row r="114" spans="1:34" x14ac:dyDescent="0.2">
      <c r="A114" s="74">
        <v>103</v>
      </c>
      <c r="B114" s="75"/>
      <c r="C114" s="78"/>
      <c r="D114" s="78"/>
      <c r="E114" s="76"/>
      <c r="F114" s="77"/>
      <c r="G114" s="79"/>
      <c r="H114" s="84">
        <f t="shared" si="27"/>
        <v>0</v>
      </c>
      <c r="I114" s="84">
        <f t="shared" si="28"/>
        <v>0</v>
      </c>
      <c r="J114" s="79"/>
      <c r="K114" s="84">
        <f t="shared" si="29"/>
        <v>0</v>
      </c>
      <c r="L114" s="79"/>
      <c r="M114" s="84">
        <f t="shared" si="30"/>
        <v>0</v>
      </c>
      <c r="N114" s="79"/>
      <c r="O114" s="84">
        <f t="shared" si="31"/>
        <v>0</v>
      </c>
      <c r="P114" s="84">
        <f t="shared" si="32"/>
        <v>0</v>
      </c>
      <c r="Q114" s="84">
        <f t="shared" si="33"/>
        <v>0</v>
      </c>
      <c r="R114" s="85">
        <f t="shared" si="34"/>
        <v>0</v>
      </c>
      <c r="S114" s="85">
        <f t="shared" si="35"/>
        <v>0</v>
      </c>
      <c r="T114" s="79"/>
      <c r="U114" s="79"/>
      <c r="V114" s="79"/>
      <c r="W114" s="79"/>
      <c r="X114" s="79"/>
      <c r="Y114" s="82"/>
      <c r="Z114" s="79"/>
      <c r="AA114" s="79"/>
      <c r="AB114" s="79"/>
      <c r="AC114" s="79"/>
      <c r="AD114" s="79"/>
      <c r="AE114" s="79"/>
      <c r="AF114" s="79"/>
      <c r="AG114" s="79"/>
      <c r="AH114" s="79"/>
    </row>
    <row r="115" spans="1:34" x14ac:dyDescent="0.2">
      <c r="A115" s="74">
        <v>104</v>
      </c>
      <c r="B115" s="75"/>
      <c r="C115" s="78"/>
      <c r="D115" s="78"/>
      <c r="E115" s="76"/>
      <c r="F115" s="77"/>
      <c r="G115" s="79"/>
      <c r="H115" s="84">
        <f t="shared" si="27"/>
        <v>0</v>
      </c>
      <c r="I115" s="84">
        <f t="shared" si="28"/>
        <v>0</v>
      </c>
      <c r="J115" s="79"/>
      <c r="K115" s="84">
        <f t="shared" si="29"/>
        <v>0</v>
      </c>
      <c r="L115" s="79"/>
      <c r="M115" s="84">
        <f t="shared" si="30"/>
        <v>0</v>
      </c>
      <c r="N115" s="79"/>
      <c r="O115" s="84">
        <f t="shared" si="31"/>
        <v>0</v>
      </c>
      <c r="P115" s="84">
        <f t="shared" si="32"/>
        <v>0</v>
      </c>
      <c r="Q115" s="84">
        <f t="shared" si="33"/>
        <v>0</v>
      </c>
      <c r="R115" s="85">
        <f t="shared" si="34"/>
        <v>0</v>
      </c>
      <c r="S115" s="85">
        <f t="shared" si="35"/>
        <v>0</v>
      </c>
      <c r="T115" s="79"/>
      <c r="U115" s="79"/>
      <c r="V115" s="79"/>
      <c r="W115" s="79"/>
      <c r="X115" s="79"/>
      <c r="Y115" s="82"/>
      <c r="Z115" s="79"/>
      <c r="AA115" s="79"/>
      <c r="AB115" s="79"/>
      <c r="AC115" s="79"/>
      <c r="AD115" s="79"/>
      <c r="AE115" s="79"/>
      <c r="AF115" s="79"/>
      <c r="AG115" s="79"/>
      <c r="AH115" s="79"/>
    </row>
    <row r="116" spans="1:34" x14ac:dyDescent="0.2">
      <c r="A116" s="74">
        <v>105</v>
      </c>
      <c r="B116" s="75"/>
      <c r="C116" s="78"/>
      <c r="D116" s="78"/>
      <c r="E116" s="76"/>
      <c r="F116" s="77"/>
      <c r="G116" s="79"/>
      <c r="H116" s="84">
        <f t="shared" si="27"/>
        <v>0</v>
      </c>
      <c r="I116" s="84">
        <f t="shared" si="28"/>
        <v>0</v>
      </c>
      <c r="J116" s="79"/>
      <c r="K116" s="84">
        <f t="shared" si="29"/>
        <v>0</v>
      </c>
      <c r="L116" s="79"/>
      <c r="M116" s="84">
        <f t="shared" si="30"/>
        <v>0</v>
      </c>
      <c r="N116" s="79"/>
      <c r="O116" s="84">
        <f t="shared" si="31"/>
        <v>0</v>
      </c>
      <c r="P116" s="84">
        <f t="shared" si="32"/>
        <v>0</v>
      </c>
      <c r="Q116" s="84">
        <f t="shared" si="33"/>
        <v>0</v>
      </c>
      <c r="R116" s="85">
        <f t="shared" si="34"/>
        <v>0</v>
      </c>
      <c r="S116" s="85">
        <f t="shared" si="35"/>
        <v>0</v>
      </c>
      <c r="T116" s="79"/>
      <c r="U116" s="79"/>
      <c r="V116" s="79"/>
      <c r="W116" s="79"/>
      <c r="X116" s="79"/>
      <c r="Y116" s="82"/>
      <c r="Z116" s="79"/>
      <c r="AA116" s="79"/>
      <c r="AB116" s="79"/>
      <c r="AC116" s="79"/>
      <c r="AD116" s="79"/>
      <c r="AE116" s="79"/>
      <c r="AF116" s="79"/>
      <c r="AG116" s="79"/>
      <c r="AH116" s="79"/>
    </row>
    <row r="117" spans="1:34" x14ac:dyDescent="0.2">
      <c r="A117" s="74">
        <v>106</v>
      </c>
      <c r="B117" s="75"/>
      <c r="C117" s="78"/>
      <c r="D117" s="78"/>
      <c r="E117" s="76"/>
      <c r="F117" s="77"/>
      <c r="G117" s="79"/>
      <c r="H117" s="84">
        <f t="shared" si="27"/>
        <v>0</v>
      </c>
      <c r="I117" s="84">
        <f t="shared" si="28"/>
        <v>0</v>
      </c>
      <c r="J117" s="79"/>
      <c r="K117" s="84">
        <f t="shared" si="29"/>
        <v>0</v>
      </c>
      <c r="L117" s="79"/>
      <c r="M117" s="84">
        <f t="shared" si="30"/>
        <v>0</v>
      </c>
      <c r="N117" s="79"/>
      <c r="O117" s="84">
        <f t="shared" si="31"/>
        <v>0</v>
      </c>
      <c r="P117" s="84">
        <f t="shared" si="32"/>
        <v>0</v>
      </c>
      <c r="Q117" s="84">
        <f t="shared" si="33"/>
        <v>0</v>
      </c>
      <c r="R117" s="85">
        <f t="shared" si="34"/>
        <v>0</v>
      </c>
      <c r="S117" s="85">
        <f t="shared" si="35"/>
        <v>0</v>
      </c>
      <c r="T117" s="79"/>
      <c r="U117" s="79"/>
      <c r="V117" s="79"/>
      <c r="W117" s="79"/>
      <c r="X117" s="79"/>
      <c r="Y117" s="82"/>
      <c r="Z117" s="79"/>
      <c r="AA117" s="79"/>
      <c r="AB117" s="79"/>
      <c r="AC117" s="79"/>
      <c r="AD117" s="79"/>
      <c r="AE117" s="79"/>
      <c r="AF117" s="79"/>
      <c r="AG117" s="79"/>
      <c r="AH117" s="79"/>
    </row>
    <row r="118" spans="1:34" x14ac:dyDescent="0.2">
      <c r="A118" s="74">
        <v>107</v>
      </c>
      <c r="B118" s="75"/>
      <c r="C118" s="78"/>
      <c r="D118" s="78"/>
      <c r="E118" s="76"/>
      <c r="F118" s="77"/>
      <c r="G118" s="79"/>
      <c r="H118" s="84">
        <f t="shared" si="27"/>
        <v>0</v>
      </c>
      <c r="I118" s="84">
        <f t="shared" si="28"/>
        <v>0</v>
      </c>
      <c r="J118" s="79"/>
      <c r="K118" s="84">
        <f t="shared" si="29"/>
        <v>0</v>
      </c>
      <c r="L118" s="79"/>
      <c r="M118" s="84">
        <f t="shared" si="30"/>
        <v>0</v>
      </c>
      <c r="N118" s="79"/>
      <c r="O118" s="84">
        <f t="shared" si="31"/>
        <v>0</v>
      </c>
      <c r="P118" s="84">
        <f t="shared" si="32"/>
        <v>0</v>
      </c>
      <c r="Q118" s="84">
        <f t="shared" si="33"/>
        <v>0</v>
      </c>
      <c r="R118" s="85">
        <f t="shared" si="34"/>
        <v>0</v>
      </c>
      <c r="S118" s="85">
        <f t="shared" si="35"/>
        <v>0</v>
      </c>
      <c r="T118" s="79"/>
      <c r="U118" s="79"/>
      <c r="V118" s="79"/>
      <c r="W118" s="79"/>
      <c r="X118" s="79"/>
      <c r="Y118" s="82"/>
      <c r="Z118" s="79"/>
      <c r="AA118" s="79"/>
      <c r="AB118" s="79"/>
      <c r="AC118" s="79"/>
      <c r="AD118" s="79"/>
      <c r="AE118" s="79"/>
      <c r="AF118" s="79"/>
      <c r="AG118" s="79"/>
      <c r="AH118" s="79"/>
    </row>
    <row r="119" spans="1:34" x14ac:dyDescent="0.2">
      <c r="A119" s="74">
        <v>108</v>
      </c>
      <c r="B119" s="75"/>
      <c r="C119" s="78"/>
      <c r="D119" s="78"/>
      <c r="E119" s="76"/>
      <c r="F119" s="77"/>
      <c r="G119" s="79"/>
      <c r="H119" s="84">
        <f t="shared" si="27"/>
        <v>0</v>
      </c>
      <c r="I119" s="84">
        <f t="shared" si="28"/>
        <v>0</v>
      </c>
      <c r="J119" s="79"/>
      <c r="K119" s="84">
        <f t="shared" si="29"/>
        <v>0</v>
      </c>
      <c r="L119" s="79"/>
      <c r="M119" s="84">
        <f t="shared" si="30"/>
        <v>0</v>
      </c>
      <c r="N119" s="79"/>
      <c r="O119" s="84">
        <f t="shared" si="31"/>
        <v>0</v>
      </c>
      <c r="P119" s="84">
        <f t="shared" si="32"/>
        <v>0</v>
      </c>
      <c r="Q119" s="84">
        <f t="shared" si="33"/>
        <v>0</v>
      </c>
      <c r="R119" s="85">
        <f t="shared" si="34"/>
        <v>0</v>
      </c>
      <c r="S119" s="85">
        <f t="shared" si="35"/>
        <v>0</v>
      </c>
      <c r="T119" s="79"/>
      <c r="U119" s="79"/>
      <c r="V119" s="79"/>
      <c r="W119" s="79"/>
      <c r="X119" s="79"/>
      <c r="Y119" s="82"/>
      <c r="Z119" s="79"/>
      <c r="AA119" s="79"/>
      <c r="AB119" s="79"/>
      <c r="AC119" s="79"/>
      <c r="AD119" s="79"/>
      <c r="AE119" s="79"/>
      <c r="AF119" s="79"/>
      <c r="AG119" s="79"/>
      <c r="AH119" s="79"/>
    </row>
    <row r="120" spans="1:34" x14ac:dyDescent="0.2">
      <c r="A120" s="74">
        <v>109</v>
      </c>
      <c r="B120" s="75"/>
      <c r="C120" s="78"/>
      <c r="D120" s="78"/>
      <c r="E120" s="76"/>
      <c r="F120" s="77"/>
      <c r="G120" s="83"/>
      <c r="H120" s="84">
        <f t="shared" si="27"/>
        <v>0</v>
      </c>
      <c r="I120" s="84">
        <f t="shared" si="28"/>
        <v>0</v>
      </c>
      <c r="J120" s="79"/>
      <c r="K120" s="84">
        <f t="shared" si="29"/>
        <v>0</v>
      </c>
      <c r="L120" s="79"/>
      <c r="M120" s="84">
        <f t="shared" si="30"/>
        <v>0</v>
      </c>
      <c r="N120" s="79"/>
      <c r="O120" s="84">
        <f t="shared" si="31"/>
        <v>0</v>
      </c>
      <c r="P120" s="84">
        <f t="shared" si="32"/>
        <v>0</v>
      </c>
      <c r="Q120" s="84">
        <f t="shared" si="33"/>
        <v>0</v>
      </c>
      <c r="R120" s="85">
        <f t="shared" si="34"/>
        <v>0</v>
      </c>
      <c r="S120" s="85">
        <f t="shared" si="35"/>
        <v>0</v>
      </c>
      <c r="T120" s="79"/>
      <c r="U120" s="79"/>
      <c r="V120" s="79"/>
      <c r="W120" s="79"/>
      <c r="X120" s="79"/>
      <c r="Y120" s="82"/>
      <c r="Z120" s="79"/>
      <c r="AA120" s="79"/>
      <c r="AB120" s="79"/>
      <c r="AC120" s="79"/>
      <c r="AD120" s="79"/>
      <c r="AE120" s="79"/>
      <c r="AF120" s="79"/>
      <c r="AG120" s="79"/>
      <c r="AH120" s="79"/>
    </row>
    <row r="121" spans="1:34" x14ac:dyDescent="0.2">
      <c r="A121" s="74">
        <v>110</v>
      </c>
      <c r="B121" s="75"/>
      <c r="C121" s="78"/>
      <c r="D121" s="78"/>
      <c r="E121" s="76"/>
      <c r="F121" s="77"/>
      <c r="G121" s="79"/>
      <c r="H121" s="84">
        <f t="shared" si="27"/>
        <v>0</v>
      </c>
      <c r="I121" s="84">
        <f t="shared" si="28"/>
        <v>0</v>
      </c>
      <c r="J121" s="79"/>
      <c r="K121" s="84">
        <f t="shared" si="29"/>
        <v>0</v>
      </c>
      <c r="L121" s="79"/>
      <c r="M121" s="84">
        <f t="shared" si="30"/>
        <v>0</v>
      </c>
      <c r="N121" s="79"/>
      <c r="O121" s="84">
        <f t="shared" si="31"/>
        <v>0</v>
      </c>
      <c r="P121" s="84">
        <f t="shared" si="32"/>
        <v>0</v>
      </c>
      <c r="Q121" s="84">
        <f t="shared" si="33"/>
        <v>0</v>
      </c>
      <c r="R121" s="85">
        <f t="shared" si="34"/>
        <v>0</v>
      </c>
      <c r="S121" s="85">
        <f t="shared" si="35"/>
        <v>0</v>
      </c>
      <c r="T121" s="79"/>
      <c r="U121" s="79"/>
      <c r="V121" s="79"/>
      <c r="W121" s="79"/>
      <c r="X121" s="79"/>
      <c r="Y121" s="82"/>
      <c r="Z121" s="79"/>
      <c r="AA121" s="79"/>
      <c r="AB121" s="79"/>
      <c r="AC121" s="79"/>
      <c r="AD121" s="79"/>
      <c r="AE121" s="79"/>
      <c r="AF121" s="79"/>
      <c r="AG121" s="79"/>
      <c r="AH121" s="79"/>
    </row>
    <row r="122" spans="1:34" x14ac:dyDescent="0.2">
      <c r="A122" s="74">
        <v>111</v>
      </c>
      <c r="B122" s="75"/>
      <c r="C122" s="78"/>
      <c r="D122" s="78"/>
      <c r="E122" s="76"/>
      <c r="F122" s="77"/>
      <c r="G122" s="79"/>
      <c r="H122" s="84">
        <f t="shared" si="27"/>
        <v>0</v>
      </c>
      <c r="I122" s="84">
        <f t="shared" si="28"/>
        <v>0</v>
      </c>
      <c r="J122" s="79"/>
      <c r="K122" s="84">
        <f t="shared" si="29"/>
        <v>0</v>
      </c>
      <c r="L122" s="79"/>
      <c r="M122" s="84">
        <f t="shared" si="30"/>
        <v>0</v>
      </c>
      <c r="N122" s="79"/>
      <c r="O122" s="84">
        <f t="shared" si="31"/>
        <v>0</v>
      </c>
      <c r="P122" s="84">
        <f t="shared" si="32"/>
        <v>0</v>
      </c>
      <c r="Q122" s="84">
        <f t="shared" si="33"/>
        <v>0</v>
      </c>
      <c r="R122" s="85">
        <f t="shared" si="34"/>
        <v>0</v>
      </c>
      <c r="S122" s="85">
        <f t="shared" si="35"/>
        <v>0</v>
      </c>
      <c r="T122" s="79"/>
      <c r="U122" s="79"/>
      <c r="V122" s="79"/>
      <c r="W122" s="79"/>
      <c r="X122" s="79"/>
      <c r="Y122" s="82"/>
      <c r="Z122" s="79"/>
      <c r="AA122" s="79"/>
      <c r="AB122" s="79"/>
      <c r="AC122" s="79"/>
      <c r="AD122" s="79"/>
      <c r="AE122" s="79"/>
      <c r="AF122" s="79"/>
      <c r="AG122" s="79"/>
      <c r="AH122" s="79"/>
    </row>
    <row r="123" spans="1:34" x14ac:dyDescent="0.2">
      <c r="A123" s="74">
        <v>112</v>
      </c>
      <c r="B123" s="75"/>
      <c r="C123" s="78"/>
      <c r="D123" s="78"/>
      <c r="E123" s="76"/>
      <c r="F123" s="77"/>
      <c r="G123" s="79"/>
      <c r="H123" s="84">
        <f t="shared" si="27"/>
        <v>0</v>
      </c>
      <c r="I123" s="84">
        <f t="shared" si="28"/>
        <v>0</v>
      </c>
      <c r="J123" s="79"/>
      <c r="K123" s="84">
        <f t="shared" si="29"/>
        <v>0</v>
      </c>
      <c r="L123" s="79"/>
      <c r="M123" s="84">
        <f t="shared" si="30"/>
        <v>0</v>
      </c>
      <c r="N123" s="79"/>
      <c r="O123" s="84">
        <f t="shared" si="31"/>
        <v>0</v>
      </c>
      <c r="P123" s="84">
        <f t="shared" si="32"/>
        <v>0</v>
      </c>
      <c r="Q123" s="84">
        <f t="shared" si="33"/>
        <v>0</v>
      </c>
      <c r="R123" s="85">
        <f t="shared" si="34"/>
        <v>0</v>
      </c>
      <c r="S123" s="85">
        <f t="shared" si="35"/>
        <v>0</v>
      </c>
      <c r="T123" s="79"/>
      <c r="U123" s="79"/>
      <c r="V123" s="79"/>
      <c r="W123" s="79"/>
      <c r="X123" s="79"/>
      <c r="Y123" s="82"/>
      <c r="Z123" s="79"/>
      <c r="AA123" s="79"/>
      <c r="AB123" s="79"/>
      <c r="AC123" s="79"/>
      <c r="AD123" s="79"/>
      <c r="AE123" s="79"/>
      <c r="AF123" s="79"/>
      <c r="AG123" s="79"/>
      <c r="AH123" s="79"/>
    </row>
    <row r="124" spans="1:34" x14ac:dyDescent="0.2">
      <c r="A124" s="74">
        <v>113</v>
      </c>
      <c r="B124" s="75"/>
      <c r="C124" s="78"/>
      <c r="D124" s="78"/>
      <c r="E124" s="76"/>
      <c r="F124" s="77"/>
      <c r="G124" s="79"/>
      <c r="H124" s="84">
        <f t="shared" si="27"/>
        <v>0</v>
      </c>
      <c r="I124" s="84">
        <f t="shared" si="28"/>
        <v>0</v>
      </c>
      <c r="J124" s="79"/>
      <c r="K124" s="84">
        <f t="shared" si="29"/>
        <v>0</v>
      </c>
      <c r="L124" s="79"/>
      <c r="M124" s="84">
        <f t="shared" si="30"/>
        <v>0</v>
      </c>
      <c r="N124" s="79"/>
      <c r="O124" s="84">
        <f t="shared" si="31"/>
        <v>0</v>
      </c>
      <c r="P124" s="84">
        <f t="shared" si="32"/>
        <v>0</v>
      </c>
      <c r="Q124" s="84">
        <f t="shared" si="33"/>
        <v>0</v>
      </c>
      <c r="R124" s="85">
        <f t="shared" si="34"/>
        <v>0</v>
      </c>
      <c r="S124" s="85">
        <f t="shared" si="35"/>
        <v>0</v>
      </c>
      <c r="T124" s="79"/>
      <c r="U124" s="79"/>
      <c r="V124" s="79"/>
      <c r="W124" s="79"/>
      <c r="X124" s="79"/>
      <c r="Y124" s="82"/>
      <c r="Z124" s="79"/>
      <c r="AA124" s="79"/>
      <c r="AB124" s="79"/>
      <c r="AC124" s="79"/>
      <c r="AD124" s="79"/>
      <c r="AE124" s="79"/>
      <c r="AF124" s="79"/>
      <c r="AG124" s="79"/>
      <c r="AH124" s="79"/>
    </row>
    <row r="125" spans="1:34" x14ac:dyDescent="0.2">
      <c r="A125" s="74">
        <v>114</v>
      </c>
      <c r="B125" s="75"/>
      <c r="C125" s="78"/>
      <c r="D125" s="78"/>
      <c r="E125" s="76"/>
      <c r="F125" s="77"/>
      <c r="G125" s="79"/>
      <c r="H125" s="84">
        <f t="shared" si="27"/>
        <v>0</v>
      </c>
      <c r="I125" s="84">
        <f t="shared" si="28"/>
        <v>0</v>
      </c>
      <c r="J125" s="79"/>
      <c r="K125" s="84">
        <f t="shared" si="29"/>
        <v>0</v>
      </c>
      <c r="L125" s="79"/>
      <c r="M125" s="84">
        <f t="shared" si="30"/>
        <v>0</v>
      </c>
      <c r="N125" s="79"/>
      <c r="O125" s="84">
        <f t="shared" si="31"/>
        <v>0</v>
      </c>
      <c r="P125" s="84">
        <f t="shared" si="32"/>
        <v>0</v>
      </c>
      <c r="Q125" s="84">
        <f t="shared" si="33"/>
        <v>0</v>
      </c>
      <c r="R125" s="85">
        <f t="shared" si="34"/>
        <v>0</v>
      </c>
      <c r="S125" s="85">
        <f t="shared" si="35"/>
        <v>0</v>
      </c>
      <c r="T125" s="79"/>
      <c r="U125" s="79"/>
      <c r="V125" s="79"/>
      <c r="W125" s="79"/>
      <c r="X125" s="79"/>
      <c r="Y125" s="82"/>
      <c r="Z125" s="79"/>
      <c r="AA125" s="79"/>
      <c r="AB125" s="79"/>
      <c r="AC125" s="79"/>
      <c r="AD125" s="79"/>
      <c r="AE125" s="79"/>
      <c r="AF125" s="79"/>
      <c r="AG125" s="79"/>
      <c r="AH125" s="79"/>
    </row>
    <row r="126" spans="1:34" x14ac:dyDescent="0.2">
      <c r="A126" s="74">
        <v>115</v>
      </c>
      <c r="B126" s="75"/>
      <c r="C126" s="78"/>
      <c r="D126" s="78"/>
      <c r="E126" s="76"/>
      <c r="F126" s="77"/>
      <c r="G126" s="79"/>
      <c r="H126" s="84">
        <f t="shared" si="27"/>
        <v>0</v>
      </c>
      <c r="I126" s="84">
        <f t="shared" si="28"/>
        <v>0</v>
      </c>
      <c r="J126" s="79"/>
      <c r="K126" s="84">
        <f t="shared" si="29"/>
        <v>0</v>
      </c>
      <c r="L126" s="79"/>
      <c r="M126" s="84">
        <f t="shared" si="30"/>
        <v>0</v>
      </c>
      <c r="N126" s="79"/>
      <c r="O126" s="84">
        <f t="shared" si="31"/>
        <v>0</v>
      </c>
      <c r="P126" s="84">
        <f t="shared" si="32"/>
        <v>0</v>
      </c>
      <c r="Q126" s="84">
        <f t="shared" si="33"/>
        <v>0</v>
      </c>
      <c r="R126" s="85">
        <f t="shared" si="34"/>
        <v>0</v>
      </c>
      <c r="S126" s="85">
        <f t="shared" si="35"/>
        <v>0</v>
      </c>
      <c r="T126" s="79"/>
      <c r="U126" s="79"/>
      <c r="V126" s="79"/>
      <c r="W126" s="79"/>
      <c r="X126" s="79"/>
      <c r="Y126" s="82"/>
      <c r="Z126" s="79"/>
      <c r="AA126" s="79"/>
      <c r="AB126" s="79"/>
      <c r="AC126" s="79"/>
      <c r="AD126" s="79"/>
      <c r="AE126" s="79"/>
      <c r="AF126" s="79"/>
      <c r="AG126" s="79"/>
      <c r="AH126" s="79"/>
    </row>
    <row r="127" spans="1:34" x14ac:dyDescent="0.2">
      <c r="A127" s="74">
        <v>116</v>
      </c>
      <c r="B127" s="75"/>
      <c r="C127" s="78"/>
      <c r="D127" s="78"/>
      <c r="E127" s="76"/>
      <c r="F127" s="77"/>
      <c r="G127" s="79"/>
      <c r="H127" s="84">
        <f t="shared" si="27"/>
        <v>0</v>
      </c>
      <c r="I127" s="84">
        <f t="shared" si="28"/>
        <v>0</v>
      </c>
      <c r="J127" s="79"/>
      <c r="K127" s="84">
        <f t="shared" si="29"/>
        <v>0</v>
      </c>
      <c r="L127" s="79"/>
      <c r="M127" s="84">
        <f t="shared" si="30"/>
        <v>0</v>
      </c>
      <c r="N127" s="79"/>
      <c r="O127" s="84">
        <f t="shared" si="31"/>
        <v>0</v>
      </c>
      <c r="P127" s="84">
        <f t="shared" si="32"/>
        <v>0</v>
      </c>
      <c r="Q127" s="84">
        <f t="shared" si="33"/>
        <v>0</v>
      </c>
      <c r="R127" s="85">
        <f t="shared" si="34"/>
        <v>0</v>
      </c>
      <c r="S127" s="85">
        <f t="shared" si="35"/>
        <v>0</v>
      </c>
      <c r="T127" s="79"/>
      <c r="U127" s="79"/>
      <c r="V127" s="79"/>
      <c r="W127" s="79"/>
      <c r="X127" s="79"/>
      <c r="Y127" s="82"/>
      <c r="Z127" s="79"/>
      <c r="AA127" s="79"/>
      <c r="AB127" s="79"/>
      <c r="AC127" s="79"/>
      <c r="AD127" s="79"/>
      <c r="AE127" s="79"/>
      <c r="AF127" s="79"/>
      <c r="AG127" s="79"/>
      <c r="AH127" s="79"/>
    </row>
    <row r="128" spans="1:34" x14ac:dyDescent="0.2">
      <c r="A128" s="74">
        <v>117</v>
      </c>
      <c r="B128" s="75"/>
      <c r="C128" s="78"/>
      <c r="D128" s="78"/>
      <c r="E128" s="76"/>
      <c r="F128" s="77"/>
      <c r="G128" s="79"/>
      <c r="H128" s="84">
        <f t="shared" si="27"/>
        <v>0</v>
      </c>
      <c r="I128" s="84">
        <f t="shared" si="28"/>
        <v>0</v>
      </c>
      <c r="J128" s="79"/>
      <c r="K128" s="84">
        <f t="shared" si="29"/>
        <v>0</v>
      </c>
      <c r="L128" s="79"/>
      <c r="M128" s="84">
        <f t="shared" si="30"/>
        <v>0</v>
      </c>
      <c r="N128" s="79"/>
      <c r="O128" s="84">
        <f t="shared" si="31"/>
        <v>0</v>
      </c>
      <c r="P128" s="84">
        <f t="shared" si="32"/>
        <v>0</v>
      </c>
      <c r="Q128" s="84">
        <f t="shared" si="33"/>
        <v>0</v>
      </c>
      <c r="R128" s="85">
        <f t="shared" si="34"/>
        <v>0</v>
      </c>
      <c r="S128" s="85">
        <f t="shared" si="35"/>
        <v>0</v>
      </c>
      <c r="T128" s="79"/>
      <c r="U128" s="79"/>
      <c r="V128" s="79"/>
      <c r="W128" s="79"/>
      <c r="X128" s="79"/>
      <c r="Y128" s="82"/>
      <c r="Z128" s="79"/>
      <c r="AA128" s="79"/>
      <c r="AB128" s="79"/>
      <c r="AC128" s="79"/>
      <c r="AD128" s="79"/>
      <c r="AE128" s="79"/>
      <c r="AF128" s="79"/>
      <c r="AG128" s="79"/>
      <c r="AH128" s="79"/>
    </row>
    <row r="129" spans="1:34" x14ac:dyDescent="0.2">
      <c r="A129" s="74">
        <v>118</v>
      </c>
      <c r="B129" s="75"/>
      <c r="C129" s="78"/>
      <c r="D129" s="78"/>
      <c r="E129" s="76"/>
      <c r="F129" s="77"/>
      <c r="G129" s="83"/>
      <c r="H129" s="84">
        <f t="shared" si="27"/>
        <v>0</v>
      </c>
      <c r="I129" s="84">
        <f t="shared" si="28"/>
        <v>0</v>
      </c>
      <c r="J129" s="79"/>
      <c r="K129" s="84">
        <f t="shared" si="29"/>
        <v>0</v>
      </c>
      <c r="L129" s="79"/>
      <c r="M129" s="84">
        <f t="shared" si="30"/>
        <v>0</v>
      </c>
      <c r="N129" s="79"/>
      <c r="O129" s="84">
        <f t="shared" si="31"/>
        <v>0</v>
      </c>
      <c r="P129" s="84">
        <f t="shared" si="32"/>
        <v>0</v>
      </c>
      <c r="Q129" s="84">
        <f t="shared" si="33"/>
        <v>0</v>
      </c>
      <c r="R129" s="85">
        <f t="shared" si="34"/>
        <v>0</v>
      </c>
      <c r="S129" s="85">
        <f t="shared" si="35"/>
        <v>0</v>
      </c>
      <c r="T129" s="79"/>
      <c r="U129" s="79"/>
      <c r="V129" s="79"/>
      <c r="W129" s="79"/>
      <c r="X129" s="79"/>
      <c r="Y129" s="82"/>
      <c r="Z129" s="79"/>
      <c r="AA129" s="79"/>
      <c r="AB129" s="79"/>
      <c r="AC129" s="79"/>
      <c r="AD129" s="79"/>
      <c r="AE129" s="79"/>
      <c r="AF129" s="79"/>
      <c r="AG129" s="79"/>
      <c r="AH129" s="79"/>
    </row>
    <row r="130" spans="1:34" x14ac:dyDescent="0.2">
      <c r="A130" s="74">
        <v>119</v>
      </c>
      <c r="B130" s="75"/>
      <c r="C130" s="78"/>
      <c r="D130" s="78"/>
      <c r="E130" s="76"/>
      <c r="F130" s="77"/>
      <c r="G130" s="79"/>
      <c r="H130" s="84">
        <f t="shared" si="27"/>
        <v>0</v>
      </c>
      <c r="I130" s="84">
        <f t="shared" si="28"/>
        <v>0</v>
      </c>
      <c r="J130" s="79"/>
      <c r="K130" s="84">
        <f t="shared" si="29"/>
        <v>0</v>
      </c>
      <c r="L130" s="79"/>
      <c r="M130" s="84">
        <f t="shared" si="30"/>
        <v>0</v>
      </c>
      <c r="N130" s="79"/>
      <c r="O130" s="84">
        <f t="shared" si="31"/>
        <v>0</v>
      </c>
      <c r="P130" s="84">
        <f t="shared" si="32"/>
        <v>0</v>
      </c>
      <c r="Q130" s="84">
        <f t="shared" si="33"/>
        <v>0</v>
      </c>
      <c r="R130" s="85">
        <f t="shared" si="34"/>
        <v>0</v>
      </c>
      <c r="S130" s="85">
        <f t="shared" si="35"/>
        <v>0</v>
      </c>
      <c r="T130" s="79"/>
      <c r="U130" s="79"/>
      <c r="V130" s="79"/>
      <c r="W130" s="79"/>
      <c r="X130" s="79"/>
      <c r="Y130" s="82"/>
      <c r="Z130" s="79"/>
      <c r="AA130" s="79"/>
      <c r="AB130" s="79"/>
      <c r="AC130" s="79"/>
      <c r="AD130" s="79"/>
      <c r="AE130" s="79"/>
      <c r="AF130" s="79"/>
      <c r="AG130" s="79"/>
      <c r="AH130" s="79"/>
    </row>
    <row r="131" spans="1:34" x14ac:dyDescent="0.2">
      <c r="A131" s="74">
        <v>120</v>
      </c>
      <c r="B131" s="75"/>
      <c r="C131" s="78"/>
      <c r="D131" s="78"/>
      <c r="E131" s="76"/>
      <c r="F131" s="77"/>
      <c r="G131" s="79"/>
      <c r="H131" s="84">
        <f t="shared" si="27"/>
        <v>0</v>
      </c>
      <c r="I131" s="84">
        <f t="shared" si="28"/>
        <v>0</v>
      </c>
      <c r="J131" s="79"/>
      <c r="K131" s="84">
        <f t="shared" si="29"/>
        <v>0</v>
      </c>
      <c r="L131" s="79"/>
      <c r="M131" s="84">
        <f t="shared" si="30"/>
        <v>0</v>
      </c>
      <c r="N131" s="79"/>
      <c r="O131" s="84">
        <f t="shared" si="31"/>
        <v>0</v>
      </c>
      <c r="P131" s="84">
        <f t="shared" si="32"/>
        <v>0</v>
      </c>
      <c r="Q131" s="84">
        <f t="shared" si="33"/>
        <v>0</v>
      </c>
      <c r="R131" s="85">
        <f t="shared" si="34"/>
        <v>0</v>
      </c>
      <c r="S131" s="85">
        <f t="shared" si="35"/>
        <v>0</v>
      </c>
      <c r="T131" s="79"/>
      <c r="U131" s="79"/>
      <c r="V131" s="79"/>
      <c r="W131" s="79"/>
      <c r="X131" s="79"/>
      <c r="Y131" s="82"/>
      <c r="Z131" s="79"/>
      <c r="AA131" s="79"/>
      <c r="AB131" s="79"/>
      <c r="AC131" s="79"/>
      <c r="AD131" s="79"/>
      <c r="AE131" s="79"/>
      <c r="AF131" s="79"/>
      <c r="AG131" s="79"/>
      <c r="AH131" s="79"/>
    </row>
    <row r="132" spans="1:34" x14ac:dyDescent="0.2">
      <c r="A132" s="74">
        <v>121</v>
      </c>
      <c r="B132" s="75"/>
      <c r="C132" s="78"/>
      <c r="D132" s="78"/>
      <c r="E132" s="76"/>
      <c r="F132" s="77"/>
      <c r="G132" s="79"/>
      <c r="H132" s="84">
        <f t="shared" si="27"/>
        <v>0</v>
      </c>
      <c r="I132" s="84">
        <f t="shared" si="28"/>
        <v>0</v>
      </c>
      <c r="J132" s="79"/>
      <c r="K132" s="84">
        <f t="shared" si="29"/>
        <v>0</v>
      </c>
      <c r="L132" s="79"/>
      <c r="M132" s="84">
        <f t="shared" si="30"/>
        <v>0</v>
      </c>
      <c r="N132" s="79"/>
      <c r="O132" s="84">
        <f t="shared" si="31"/>
        <v>0</v>
      </c>
      <c r="P132" s="84">
        <f t="shared" si="32"/>
        <v>0</v>
      </c>
      <c r="Q132" s="84">
        <f t="shared" si="33"/>
        <v>0</v>
      </c>
      <c r="R132" s="85">
        <f t="shared" si="34"/>
        <v>0</v>
      </c>
      <c r="S132" s="85">
        <f t="shared" si="35"/>
        <v>0</v>
      </c>
      <c r="T132" s="79"/>
      <c r="U132" s="79"/>
      <c r="V132" s="79"/>
      <c r="W132" s="79"/>
      <c r="X132" s="79"/>
      <c r="Y132" s="82"/>
      <c r="Z132" s="79"/>
      <c r="AA132" s="79"/>
      <c r="AB132" s="79"/>
      <c r="AC132" s="79"/>
      <c r="AD132" s="79"/>
      <c r="AE132" s="79"/>
      <c r="AF132" s="79"/>
      <c r="AG132" s="79"/>
      <c r="AH132" s="79"/>
    </row>
    <row r="133" spans="1:34" x14ac:dyDescent="0.2">
      <c r="A133" s="74">
        <v>122</v>
      </c>
      <c r="B133" s="75"/>
      <c r="C133" s="78"/>
      <c r="D133" s="78"/>
      <c r="E133" s="76"/>
      <c r="F133" s="77"/>
      <c r="G133" s="79"/>
      <c r="H133" s="84">
        <f t="shared" si="27"/>
        <v>0</v>
      </c>
      <c r="I133" s="84">
        <f t="shared" si="28"/>
        <v>0</v>
      </c>
      <c r="J133" s="79"/>
      <c r="K133" s="84">
        <f t="shared" si="29"/>
        <v>0</v>
      </c>
      <c r="L133" s="79"/>
      <c r="M133" s="84">
        <f t="shared" si="30"/>
        <v>0</v>
      </c>
      <c r="N133" s="79"/>
      <c r="O133" s="84">
        <f t="shared" si="31"/>
        <v>0</v>
      </c>
      <c r="P133" s="84">
        <f t="shared" si="32"/>
        <v>0</v>
      </c>
      <c r="Q133" s="84">
        <f t="shared" si="33"/>
        <v>0</v>
      </c>
      <c r="R133" s="85">
        <f t="shared" si="34"/>
        <v>0</v>
      </c>
      <c r="S133" s="85">
        <f t="shared" si="35"/>
        <v>0</v>
      </c>
      <c r="T133" s="79"/>
      <c r="U133" s="79"/>
      <c r="V133" s="79"/>
      <c r="W133" s="79"/>
      <c r="X133" s="79"/>
      <c r="Y133" s="82"/>
      <c r="Z133" s="79"/>
      <c r="AA133" s="79"/>
      <c r="AB133" s="79"/>
      <c r="AC133" s="79"/>
      <c r="AD133" s="79"/>
      <c r="AE133" s="79"/>
      <c r="AF133" s="79"/>
      <c r="AG133" s="79"/>
      <c r="AH133" s="79"/>
    </row>
    <row r="134" spans="1:34" x14ac:dyDescent="0.2">
      <c r="A134" s="74">
        <v>123</v>
      </c>
      <c r="B134" s="75"/>
      <c r="C134" s="78"/>
      <c r="D134" s="78"/>
      <c r="E134" s="76"/>
      <c r="F134" s="77"/>
      <c r="G134" s="79"/>
      <c r="H134" s="84">
        <f t="shared" si="27"/>
        <v>0</v>
      </c>
      <c r="I134" s="84">
        <f t="shared" si="28"/>
        <v>0</v>
      </c>
      <c r="J134" s="79"/>
      <c r="K134" s="84">
        <f t="shared" si="29"/>
        <v>0</v>
      </c>
      <c r="L134" s="79"/>
      <c r="M134" s="84">
        <f t="shared" si="30"/>
        <v>0</v>
      </c>
      <c r="N134" s="79"/>
      <c r="O134" s="84">
        <f t="shared" si="31"/>
        <v>0</v>
      </c>
      <c r="P134" s="84">
        <f t="shared" si="32"/>
        <v>0</v>
      </c>
      <c r="Q134" s="84">
        <f t="shared" si="33"/>
        <v>0</v>
      </c>
      <c r="R134" s="85">
        <f t="shared" si="34"/>
        <v>0</v>
      </c>
      <c r="S134" s="85">
        <f t="shared" si="35"/>
        <v>0</v>
      </c>
      <c r="T134" s="79"/>
      <c r="U134" s="79"/>
      <c r="V134" s="79"/>
      <c r="W134" s="79"/>
      <c r="X134" s="79"/>
      <c r="Y134" s="82"/>
      <c r="Z134" s="79"/>
      <c r="AA134" s="79"/>
      <c r="AB134" s="79"/>
      <c r="AC134" s="79"/>
      <c r="AD134" s="79"/>
      <c r="AE134" s="79"/>
      <c r="AF134" s="79"/>
      <c r="AG134" s="79"/>
      <c r="AH134" s="79"/>
    </row>
    <row r="135" spans="1:34" x14ac:dyDescent="0.2">
      <c r="A135" s="74">
        <v>124</v>
      </c>
      <c r="B135" s="75"/>
      <c r="C135" s="78"/>
      <c r="D135" s="78"/>
      <c r="E135" s="76"/>
      <c r="F135" s="77"/>
      <c r="G135" s="79"/>
      <c r="H135" s="84">
        <f t="shared" si="27"/>
        <v>0</v>
      </c>
      <c r="I135" s="84">
        <f t="shared" si="28"/>
        <v>0</v>
      </c>
      <c r="J135" s="79"/>
      <c r="K135" s="84">
        <f t="shared" si="29"/>
        <v>0</v>
      </c>
      <c r="L135" s="79"/>
      <c r="M135" s="84">
        <f t="shared" si="30"/>
        <v>0</v>
      </c>
      <c r="N135" s="79"/>
      <c r="O135" s="84">
        <f t="shared" si="31"/>
        <v>0</v>
      </c>
      <c r="P135" s="84">
        <f t="shared" si="32"/>
        <v>0</v>
      </c>
      <c r="Q135" s="84">
        <f t="shared" si="33"/>
        <v>0</v>
      </c>
      <c r="R135" s="85">
        <f t="shared" si="34"/>
        <v>0</v>
      </c>
      <c r="S135" s="85">
        <f t="shared" si="35"/>
        <v>0</v>
      </c>
      <c r="T135" s="79"/>
      <c r="U135" s="79"/>
      <c r="V135" s="79"/>
      <c r="W135" s="79"/>
      <c r="X135" s="79"/>
      <c r="Y135" s="82"/>
      <c r="Z135" s="79"/>
      <c r="AA135" s="79"/>
      <c r="AB135" s="79"/>
      <c r="AC135" s="79"/>
      <c r="AD135" s="79"/>
      <c r="AE135" s="79"/>
      <c r="AF135" s="79"/>
      <c r="AG135" s="79"/>
      <c r="AH135" s="79"/>
    </row>
    <row r="136" spans="1:34" x14ac:dyDescent="0.2">
      <c r="A136" s="74">
        <v>125</v>
      </c>
      <c r="B136" s="75"/>
      <c r="C136" s="78"/>
      <c r="D136" s="78"/>
      <c r="E136" s="76"/>
      <c r="F136" s="77"/>
      <c r="G136" s="79"/>
      <c r="H136" s="84">
        <f t="shared" si="27"/>
        <v>0</v>
      </c>
      <c r="I136" s="84">
        <f t="shared" si="28"/>
        <v>0</v>
      </c>
      <c r="J136" s="79"/>
      <c r="K136" s="84">
        <f t="shared" si="29"/>
        <v>0</v>
      </c>
      <c r="L136" s="79"/>
      <c r="M136" s="84">
        <f t="shared" si="30"/>
        <v>0</v>
      </c>
      <c r="N136" s="79"/>
      <c r="O136" s="84">
        <f t="shared" si="31"/>
        <v>0</v>
      </c>
      <c r="P136" s="84">
        <f t="shared" si="32"/>
        <v>0</v>
      </c>
      <c r="Q136" s="84">
        <f t="shared" si="33"/>
        <v>0</v>
      </c>
      <c r="R136" s="85">
        <f t="shared" si="34"/>
        <v>0</v>
      </c>
      <c r="S136" s="85">
        <f t="shared" si="35"/>
        <v>0</v>
      </c>
      <c r="T136" s="79"/>
      <c r="U136" s="79"/>
      <c r="V136" s="79"/>
      <c r="W136" s="79"/>
      <c r="X136" s="79"/>
      <c r="Y136" s="82"/>
      <c r="Z136" s="79"/>
      <c r="AA136" s="79"/>
      <c r="AB136" s="79"/>
      <c r="AC136" s="79"/>
      <c r="AD136" s="79"/>
      <c r="AE136" s="79"/>
      <c r="AF136" s="79"/>
      <c r="AG136" s="79"/>
      <c r="AH136" s="79"/>
    </row>
    <row r="137" spans="1:34" x14ac:dyDescent="0.2">
      <c r="A137" s="74">
        <v>126</v>
      </c>
      <c r="B137" s="75"/>
      <c r="C137" s="78"/>
      <c r="D137" s="78"/>
      <c r="E137" s="76"/>
      <c r="F137" s="77"/>
      <c r="G137" s="79"/>
      <c r="H137" s="84">
        <f t="shared" si="27"/>
        <v>0</v>
      </c>
      <c r="I137" s="84">
        <f t="shared" si="28"/>
        <v>0</v>
      </c>
      <c r="J137" s="79"/>
      <c r="K137" s="84">
        <f t="shared" si="29"/>
        <v>0</v>
      </c>
      <c r="L137" s="79"/>
      <c r="M137" s="84">
        <f t="shared" si="30"/>
        <v>0</v>
      </c>
      <c r="N137" s="79"/>
      <c r="O137" s="84">
        <f t="shared" si="31"/>
        <v>0</v>
      </c>
      <c r="P137" s="84">
        <f t="shared" si="32"/>
        <v>0</v>
      </c>
      <c r="Q137" s="84">
        <f t="shared" si="33"/>
        <v>0</v>
      </c>
      <c r="R137" s="85">
        <f t="shared" si="34"/>
        <v>0</v>
      </c>
      <c r="S137" s="85">
        <f t="shared" si="35"/>
        <v>0</v>
      </c>
      <c r="T137" s="79"/>
      <c r="U137" s="79"/>
      <c r="V137" s="79"/>
      <c r="W137" s="79"/>
      <c r="X137" s="79"/>
      <c r="Y137" s="82"/>
      <c r="Z137" s="79"/>
      <c r="AA137" s="79"/>
      <c r="AB137" s="79"/>
      <c r="AC137" s="79"/>
      <c r="AD137" s="79"/>
      <c r="AE137" s="79"/>
      <c r="AF137" s="79"/>
      <c r="AG137" s="79"/>
      <c r="AH137" s="79"/>
    </row>
    <row r="138" spans="1:34" x14ac:dyDescent="0.2">
      <c r="A138" s="74">
        <v>127</v>
      </c>
      <c r="B138" s="75"/>
      <c r="C138" s="78"/>
      <c r="D138" s="78"/>
      <c r="E138" s="76"/>
      <c r="F138" s="77"/>
      <c r="G138" s="83"/>
      <c r="H138" s="84">
        <f t="shared" si="27"/>
        <v>0</v>
      </c>
      <c r="I138" s="84">
        <f t="shared" si="28"/>
        <v>0</v>
      </c>
      <c r="J138" s="79"/>
      <c r="K138" s="84">
        <f t="shared" si="29"/>
        <v>0</v>
      </c>
      <c r="L138" s="79"/>
      <c r="M138" s="84">
        <f t="shared" si="30"/>
        <v>0</v>
      </c>
      <c r="N138" s="79"/>
      <c r="O138" s="84">
        <f t="shared" si="31"/>
        <v>0</v>
      </c>
      <c r="P138" s="84">
        <f t="shared" si="32"/>
        <v>0</v>
      </c>
      <c r="Q138" s="84">
        <f t="shared" si="33"/>
        <v>0</v>
      </c>
      <c r="R138" s="85">
        <f t="shared" si="34"/>
        <v>0</v>
      </c>
      <c r="S138" s="85">
        <f t="shared" si="35"/>
        <v>0</v>
      </c>
      <c r="T138" s="79"/>
      <c r="U138" s="79"/>
      <c r="V138" s="79"/>
      <c r="W138" s="79"/>
      <c r="X138" s="79"/>
      <c r="Y138" s="82"/>
      <c r="Z138" s="79"/>
      <c r="AA138" s="79"/>
      <c r="AB138" s="79"/>
      <c r="AC138" s="79"/>
      <c r="AD138" s="79"/>
      <c r="AE138" s="79"/>
      <c r="AF138" s="79"/>
      <c r="AG138" s="79"/>
      <c r="AH138" s="79"/>
    </row>
    <row r="139" spans="1:34" x14ac:dyDescent="0.2">
      <c r="A139" s="74">
        <v>128</v>
      </c>
      <c r="B139" s="75"/>
      <c r="C139" s="78"/>
      <c r="D139" s="78"/>
      <c r="E139" s="76"/>
      <c r="F139" s="77"/>
      <c r="G139" s="79"/>
      <c r="H139" s="84">
        <f t="shared" si="27"/>
        <v>0</v>
      </c>
      <c r="I139" s="84">
        <f t="shared" si="28"/>
        <v>0</v>
      </c>
      <c r="J139" s="79"/>
      <c r="K139" s="84">
        <f t="shared" si="29"/>
        <v>0</v>
      </c>
      <c r="L139" s="79"/>
      <c r="M139" s="84">
        <f t="shared" si="30"/>
        <v>0</v>
      </c>
      <c r="N139" s="79"/>
      <c r="O139" s="84">
        <f t="shared" si="31"/>
        <v>0</v>
      </c>
      <c r="P139" s="84">
        <f t="shared" si="32"/>
        <v>0</v>
      </c>
      <c r="Q139" s="84">
        <f t="shared" si="33"/>
        <v>0</v>
      </c>
      <c r="R139" s="85">
        <f t="shared" si="34"/>
        <v>0</v>
      </c>
      <c r="S139" s="85">
        <f t="shared" si="35"/>
        <v>0</v>
      </c>
      <c r="T139" s="79"/>
      <c r="U139" s="79"/>
      <c r="V139" s="79"/>
      <c r="W139" s="79"/>
      <c r="X139" s="79"/>
      <c r="Y139" s="82"/>
      <c r="Z139" s="79"/>
      <c r="AA139" s="79"/>
      <c r="AB139" s="79"/>
      <c r="AC139" s="79"/>
      <c r="AD139" s="79"/>
      <c r="AE139" s="79"/>
      <c r="AF139" s="79"/>
      <c r="AG139" s="79"/>
      <c r="AH139" s="79"/>
    </row>
    <row r="140" spans="1:34" x14ac:dyDescent="0.2">
      <c r="A140" s="74">
        <v>129</v>
      </c>
      <c r="B140" s="75"/>
      <c r="C140" s="78"/>
      <c r="D140" s="78"/>
      <c r="E140" s="76"/>
      <c r="F140" s="77"/>
      <c r="G140" s="79"/>
      <c r="H140" s="84">
        <f t="shared" si="27"/>
        <v>0</v>
      </c>
      <c r="I140" s="84">
        <f t="shared" si="28"/>
        <v>0</v>
      </c>
      <c r="J140" s="79"/>
      <c r="K140" s="84">
        <f t="shared" si="29"/>
        <v>0</v>
      </c>
      <c r="L140" s="79"/>
      <c r="M140" s="84">
        <f t="shared" si="30"/>
        <v>0</v>
      </c>
      <c r="N140" s="79"/>
      <c r="O140" s="84">
        <f t="shared" si="31"/>
        <v>0</v>
      </c>
      <c r="P140" s="84">
        <f t="shared" si="32"/>
        <v>0</v>
      </c>
      <c r="Q140" s="84">
        <f t="shared" si="33"/>
        <v>0</v>
      </c>
      <c r="R140" s="85">
        <f t="shared" si="34"/>
        <v>0</v>
      </c>
      <c r="S140" s="85">
        <f t="shared" si="35"/>
        <v>0</v>
      </c>
      <c r="T140" s="79"/>
      <c r="U140" s="79"/>
      <c r="V140" s="79"/>
      <c r="W140" s="79"/>
      <c r="X140" s="79"/>
      <c r="Y140" s="82"/>
      <c r="Z140" s="79"/>
      <c r="AA140" s="79"/>
      <c r="AB140" s="79"/>
      <c r="AC140" s="79"/>
      <c r="AD140" s="79"/>
      <c r="AE140" s="79"/>
      <c r="AF140" s="79"/>
      <c r="AG140" s="79"/>
      <c r="AH140" s="79"/>
    </row>
    <row r="141" spans="1:34" x14ac:dyDescent="0.2">
      <c r="A141" s="74">
        <v>130</v>
      </c>
      <c r="B141" s="75"/>
      <c r="C141" s="78"/>
      <c r="D141" s="78"/>
      <c r="E141" s="76"/>
      <c r="F141" s="77"/>
      <c r="G141" s="79"/>
      <c r="H141" s="84">
        <f t="shared" ref="H141:H204" si="36">E141*G141</f>
        <v>0</v>
      </c>
      <c r="I141" s="84">
        <f t="shared" ref="I141:I204" si="37">E141*G141*0.39</f>
        <v>0</v>
      </c>
      <c r="J141" s="79"/>
      <c r="K141" s="84">
        <f t="shared" ref="K141:K204" si="38">J141*0.39</f>
        <v>0</v>
      </c>
      <c r="L141" s="79"/>
      <c r="M141" s="84">
        <f t="shared" ref="M141:M204" si="39">L141*0.39</f>
        <v>0</v>
      </c>
      <c r="N141" s="79"/>
      <c r="O141" s="84">
        <f t="shared" ref="O141:O204" si="40">N141*2.205</f>
        <v>0</v>
      </c>
      <c r="P141" s="84">
        <f t="shared" ref="P141:P204" si="41">SUM(E141*N141)</f>
        <v>0</v>
      </c>
      <c r="Q141" s="84">
        <f t="shared" ref="Q141:Q204" si="42">P141*2.205</f>
        <v>0</v>
      </c>
      <c r="R141" s="85">
        <f t="shared" ref="R141:R204" si="43">SUM(E141*G141*J141)/10000</f>
        <v>0</v>
      </c>
      <c r="S141" s="85">
        <f t="shared" ref="S141:S204" si="44">SUM(E141*G141*J141*L141)/1000000</f>
        <v>0</v>
      </c>
      <c r="T141" s="79"/>
      <c r="U141" s="79"/>
      <c r="V141" s="79"/>
      <c r="W141" s="79"/>
      <c r="X141" s="79"/>
      <c r="Y141" s="82"/>
      <c r="Z141" s="79"/>
      <c r="AA141" s="79"/>
      <c r="AB141" s="79"/>
      <c r="AC141" s="79"/>
      <c r="AD141" s="79"/>
      <c r="AE141" s="79"/>
      <c r="AF141" s="79"/>
      <c r="AG141" s="79"/>
      <c r="AH141" s="79"/>
    </row>
    <row r="142" spans="1:34" x14ac:dyDescent="0.2">
      <c r="A142" s="74">
        <v>131</v>
      </c>
      <c r="B142" s="75"/>
      <c r="C142" s="78"/>
      <c r="D142" s="78"/>
      <c r="E142" s="76"/>
      <c r="F142" s="77"/>
      <c r="G142" s="79"/>
      <c r="H142" s="84">
        <f t="shared" si="36"/>
        <v>0</v>
      </c>
      <c r="I142" s="84">
        <f t="shared" si="37"/>
        <v>0</v>
      </c>
      <c r="J142" s="79"/>
      <c r="K142" s="84">
        <f t="shared" si="38"/>
        <v>0</v>
      </c>
      <c r="L142" s="79"/>
      <c r="M142" s="84">
        <f t="shared" si="39"/>
        <v>0</v>
      </c>
      <c r="N142" s="79"/>
      <c r="O142" s="84">
        <f t="shared" si="40"/>
        <v>0</v>
      </c>
      <c r="P142" s="84">
        <f t="shared" si="41"/>
        <v>0</v>
      </c>
      <c r="Q142" s="84">
        <f t="shared" si="42"/>
        <v>0</v>
      </c>
      <c r="R142" s="85">
        <f t="shared" si="43"/>
        <v>0</v>
      </c>
      <c r="S142" s="85">
        <f t="shared" si="44"/>
        <v>0</v>
      </c>
      <c r="T142" s="79"/>
      <c r="U142" s="79"/>
      <c r="V142" s="79"/>
      <c r="W142" s="79"/>
      <c r="X142" s="79"/>
      <c r="Y142" s="82"/>
      <c r="Z142" s="79"/>
      <c r="AA142" s="79"/>
      <c r="AB142" s="79"/>
      <c r="AC142" s="79"/>
      <c r="AD142" s="79"/>
      <c r="AE142" s="79"/>
      <c r="AF142" s="79"/>
      <c r="AG142" s="79"/>
      <c r="AH142" s="79"/>
    </row>
    <row r="143" spans="1:34" x14ac:dyDescent="0.2">
      <c r="A143" s="74">
        <v>132</v>
      </c>
      <c r="B143" s="75"/>
      <c r="C143" s="78"/>
      <c r="D143" s="78"/>
      <c r="E143" s="76"/>
      <c r="F143" s="77"/>
      <c r="G143" s="79"/>
      <c r="H143" s="84">
        <f t="shared" si="36"/>
        <v>0</v>
      </c>
      <c r="I143" s="84">
        <f t="shared" si="37"/>
        <v>0</v>
      </c>
      <c r="J143" s="79"/>
      <c r="K143" s="84">
        <f t="shared" si="38"/>
        <v>0</v>
      </c>
      <c r="L143" s="79"/>
      <c r="M143" s="84">
        <f t="shared" si="39"/>
        <v>0</v>
      </c>
      <c r="N143" s="79"/>
      <c r="O143" s="84">
        <f t="shared" si="40"/>
        <v>0</v>
      </c>
      <c r="P143" s="84">
        <f t="shared" si="41"/>
        <v>0</v>
      </c>
      <c r="Q143" s="84">
        <f t="shared" si="42"/>
        <v>0</v>
      </c>
      <c r="R143" s="85">
        <f t="shared" si="43"/>
        <v>0</v>
      </c>
      <c r="S143" s="85">
        <f t="shared" si="44"/>
        <v>0</v>
      </c>
      <c r="T143" s="79"/>
      <c r="U143" s="79"/>
      <c r="V143" s="79"/>
      <c r="W143" s="79"/>
      <c r="X143" s="79"/>
      <c r="Y143" s="82"/>
      <c r="Z143" s="79"/>
      <c r="AA143" s="79"/>
      <c r="AB143" s="79"/>
      <c r="AC143" s="79"/>
      <c r="AD143" s="79"/>
      <c r="AE143" s="79"/>
      <c r="AF143" s="79"/>
      <c r="AG143" s="79"/>
      <c r="AH143" s="79"/>
    </row>
    <row r="144" spans="1:34" x14ac:dyDescent="0.2">
      <c r="A144" s="74">
        <v>133</v>
      </c>
      <c r="B144" s="75"/>
      <c r="C144" s="78"/>
      <c r="D144" s="78"/>
      <c r="E144" s="76"/>
      <c r="F144" s="77"/>
      <c r="G144" s="79"/>
      <c r="H144" s="84">
        <f t="shared" si="36"/>
        <v>0</v>
      </c>
      <c r="I144" s="84">
        <f t="shared" si="37"/>
        <v>0</v>
      </c>
      <c r="J144" s="79"/>
      <c r="K144" s="84">
        <f t="shared" si="38"/>
        <v>0</v>
      </c>
      <c r="L144" s="79"/>
      <c r="M144" s="84">
        <f t="shared" si="39"/>
        <v>0</v>
      </c>
      <c r="N144" s="79"/>
      <c r="O144" s="84">
        <f t="shared" si="40"/>
        <v>0</v>
      </c>
      <c r="P144" s="84">
        <f t="shared" si="41"/>
        <v>0</v>
      </c>
      <c r="Q144" s="84">
        <f t="shared" si="42"/>
        <v>0</v>
      </c>
      <c r="R144" s="85">
        <f t="shared" si="43"/>
        <v>0</v>
      </c>
      <c r="S144" s="85">
        <f t="shared" si="44"/>
        <v>0</v>
      </c>
      <c r="T144" s="79"/>
      <c r="U144" s="79"/>
      <c r="V144" s="79"/>
      <c r="W144" s="79"/>
      <c r="X144" s="79"/>
      <c r="Y144" s="82"/>
      <c r="Z144" s="79"/>
      <c r="AA144" s="79"/>
      <c r="AB144" s="79"/>
      <c r="AC144" s="79"/>
      <c r="AD144" s="79"/>
      <c r="AE144" s="79"/>
      <c r="AF144" s="79"/>
      <c r="AG144" s="79"/>
      <c r="AH144" s="79"/>
    </row>
    <row r="145" spans="1:34" x14ac:dyDescent="0.2">
      <c r="A145" s="74">
        <v>134</v>
      </c>
      <c r="B145" s="75"/>
      <c r="C145" s="78"/>
      <c r="D145" s="78"/>
      <c r="E145" s="76"/>
      <c r="F145" s="77"/>
      <c r="G145" s="79"/>
      <c r="H145" s="84">
        <f t="shared" si="36"/>
        <v>0</v>
      </c>
      <c r="I145" s="84">
        <f t="shared" si="37"/>
        <v>0</v>
      </c>
      <c r="J145" s="79"/>
      <c r="K145" s="84">
        <f t="shared" si="38"/>
        <v>0</v>
      </c>
      <c r="L145" s="79"/>
      <c r="M145" s="84">
        <f t="shared" si="39"/>
        <v>0</v>
      </c>
      <c r="N145" s="79"/>
      <c r="O145" s="84">
        <f t="shared" si="40"/>
        <v>0</v>
      </c>
      <c r="P145" s="84">
        <f t="shared" si="41"/>
        <v>0</v>
      </c>
      <c r="Q145" s="84">
        <f t="shared" si="42"/>
        <v>0</v>
      </c>
      <c r="R145" s="85">
        <f t="shared" si="43"/>
        <v>0</v>
      </c>
      <c r="S145" s="85">
        <f t="shared" si="44"/>
        <v>0</v>
      </c>
      <c r="T145" s="79"/>
      <c r="U145" s="79"/>
      <c r="V145" s="79"/>
      <c r="W145" s="79"/>
      <c r="X145" s="79"/>
      <c r="Y145" s="82"/>
      <c r="Z145" s="79"/>
      <c r="AA145" s="79"/>
      <c r="AB145" s="79"/>
      <c r="AC145" s="79"/>
      <c r="AD145" s="79"/>
      <c r="AE145" s="79"/>
      <c r="AF145" s="79"/>
      <c r="AG145" s="79"/>
      <c r="AH145" s="79"/>
    </row>
    <row r="146" spans="1:34" x14ac:dyDescent="0.2">
      <c r="A146" s="74">
        <v>135</v>
      </c>
      <c r="B146" s="75"/>
      <c r="C146" s="78"/>
      <c r="D146" s="78"/>
      <c r="E146" s="76"/>
      <c r="F146" s="77"/>
      <c r="G146" s="79"/>
      <c r="H146" s="84">
        <f t="shared" si="36"/>
        <v>0</v>
      </c>
      <c r="I146" s="84">
        <f t="shared" si="37"/>
        <v>0</v>
      </c>
      <c r="J146" s="79"/>
      <c r="K146" s="84">
        <f t="shared" si="38"/>
        <v>0</v>
      </c>
      <c r="L146" s="79"/>
      <c r="M146" s="84">
        <f t="shared" si="39"/>
        <v>0</v>
      </c>
      <c r="N146" s="79"/>
      <c r="O146" s="84">
        <f t="shared" si="40"/>
        <v>0</v>
      </c>
      <c r="P146" s="84">
        <f t="shared" si="41"/>
        <v>0</v>
      </c>
      <c r="Q146" s="84">
        <f t="shared" si="42"/>
        <v>0</v>
      </c>
      <c r="R146" s="85">
        <f t="shared" si="43"/>
        <v>0</v>
      </c>
      <c r="S146" s="85">
        <f t="shared" si="44"/>
        <v>0</v>
      </c>
      <c r="T146" s="79"/>
      <c r="U146" s="79"/>
      <c r="V146" s="79"/>
      <c r="W146" s="79"/>
      <c r="X146" s="79"/>
      <c r="Y146" s="82"/>
      <c r="Z146" s="79"/>
      <c r="AA146" s="79"/>
      <c r="AB146" s="79"/>
      <c r="AC146" s="79"/>
      <c r="AD146" s="79"/>
      <c r="AE146" s="79"/>
      <c r="AF146" s="79"/>
      <c r="AG146" s="79"/>
      <c r="AH146" s="79"/>
    </row>
    <row r="147" spans="1:34" x14ac:dyDescent="0.2">
      <c r="A147" s="74">
        <v>136</v>
      </c>
      <c r="B147" s="75"/>
      <c r="C147" s="78"/>
      <c r="D147" s="78"/>
      <c r="E147" s="76"/>
      <c r="F147" s="77"/>
      <c r="G147" s="83"/>
      <c r="H147" s="84">
        <f t="shared" si="36"/>
        <v>0</v>
      </c>
      <c r="I147" s="84">
        <f t="shared" si="37"/>
        <v>0</v>
      </c>
      <c r="J147" s="79"/>
      <c r="K147" s="84">
        <f t="shared" si="38"/>
        <v>0</v>
      </c>
      <c r="L147" s="79"/>
      <c r="M147" s="84">
        <f t="shared" si="39"/>
        <v>0</v>
      </c>
      <c r="N147" s="79"/>
      <c r="O147" s="84">
        <f t="shared" si="40"/>
        <v>0</v>
      </c>
      <c r="P147" s="84">
        <f t="shared" si="41"/>
        <v>0</v>
      </c>
      <c r="Q147" s="84">
        <f t="shared" si="42"/>
        <v>0</v>
      </c>
      <c r="R147" s="85">
        <f t="shared" si="43"/>
        <v>0</v>
      </c>
      <c r="S147" s="85">
        <f t="shared" si="44"/>
        <v>0</v>
      </c>
      <c r="T147" s="79"/>
      <c r="U147" s="79"/>
      <c r="V147" s="79"/>
      <c r="W147" s="79"/>
      <c r="X147" s="79"/>
      <c r="Y147" s="82"/>
      <c r="Z147" s="79"/>
      <c r="AA147" s="79"/>
      <c r="AB147" s="79"/>
      <c r="AC147" s="79"/>
      <c r="AD147" s="79"/>
      <c r="AE147" s="79"/>
      <c r="AF147" s="79"/>
      <c r="AG147" s="79"/>
      <c r="AH147" s="79"/>
    </row>
    <row r="148" spans="1:34" x14ac:dyDescent="0.2">
      <c r="A148" s="74">
        <v>137</v>
      </c>
      <c r="B148" s="75"/>
      <c r="C148" s="78"/>
      <c r="D148" s="78"/>
      <c r="E148" s="76"/>
      <c r="F148" s="77"/>
      <c r="G148" s="79"/>
      <c r="H148" s="84">
        <f t="shared" si="36"/>
        <v>0</v>
      </c>
      <c r="I148" s="84">
        <f t="shared" si="37"/>
        <v>0</v>
      </c>
      <c r="J148" s="79"/>
      <c r="K148" s="84">
        <f t="shared" si="38"/>
        <v>0</v>
      </c>
      <c r="L148" s="79"/>
      <c r="M148" s="84">
        <f t="shared" si="39"/>
        <v>0</v>
      </c>
      <c r="N148" s="79"/>
      <c r="O148" s="84">
        <f t="shared" si="40"/>
        <v>0</v>
      </c>
      <c r="P148" s="84">
        <f t="shared" si="41"/>
        <v>0</v>
      </c>
      <c r="Q148" s="84">
        <f t="shared" si="42"/>
        <v>0</v>
      </c>
      <c r="R148" s="85">
        <f t="shared" si="43"/>
        <v>0</v>
      </c>
      <c r="S148" s="85">
        <f t="shared" si="44"/>
        <v>0</v>
      </c>
      <c r="T148" s="79"/>
      <c r="U148" s="79"/>
      <c r="V148" s="79"/>
      <c r="W148" s="79"/>
      <c r="X148" s="79"/>
      <c r="Y148" s="82"/>
      <c r="Z148" s="79"/>
      <c r="AA148" s="79"/>
      <c r="AB148" s="79"/>
      <c r="AC148" s="79"/>
      <c r="AD148" s="79"/>
      <c r="AE148" s="79"/>
      <c r="AF148" s="79"/>
      <c r="AG148" s="79"/>
      <c r="AH148" s="79"/>
    </row>
    <row r="149" spans="1:34" x14ac:dyDescent="0.2">
      <c r="A149" s="74">
        <v>138</v>
      </c>
      <c r="B149" s="75"/>
      <c r="C149" s="78"/>
      <c r="D149" s="78"/>
      <c r="E149" s="76"/>
      <c r="F149" s="77"/>
      <c r="G149" s="79"/>
      <c r="H149" s="84">
        <f t="shared" si="36"/>
        <v>0</v>
      </c>
      <c r="I149" s="84">
        <f t="shared" si="37"/>
        <v>0</v>
      </c>
      <c r="J149" s="79"/>
      <c r="K149" s="84">
        <f t="shared" si="38"/>
        <v>0</v>
      </c>
      <c r="L149" s="79"/>
      <c r="M149" s="84">
        <f t="shared" si="39"/>
        <v>0</v>
      </c>
      <c r="N149" s="79"/>
      <c r="O149" s="84">
        <f t="shared" si="40"/>
        <v>0</v>
      </c>
      <c r="P149" s="84">
        <f t="shared" si="41"/>
        <v>0</v>
      </c>
      <c r="Q149" s="84">
        <f t="shared" si="42"/>
        <v>0</v>
      </c>
      <c r="R149" s="85">
        <f t="shared" si="43"/>
        <v>0</v>
      </c>
      <c r="S149" s="85">
        <f t="shared" si="44"/>
        <v>0</v>
      </c>
      <c r="T149" s="79"/>
      <c r="U149" s="79"/>
      <c r="V149" s="79"/>
      <c r="W149" s="79"/>
      <c r="X149" s="79"/>
      <c r="Y149" s="82"/>
      <c r="Z149" s="79"/>
      <c r="AA149" s="79"/>
      <c r="AB149" s="79"/>
      <c r="AC149" s="79"/>
      <c r="AD149" s="79"/>
      <c r="AE149" s="79"/>
      <c r="AF149" s="79"/>
      <c r="AG149" s="79"/>
      <c r="AH149" s="79"/>
    </row>
    <row r="150" spans="1:34" x14ac:dyDescent="0.2">
      <c r="A150" s="74">
        <v>139</v>
      </c>
      <c r="B150" s="75"/>
      <c r="C150" s="78"/>
      <c r="D150" s="78"/>
      <c r="E150" s="76"/>
      <c r="F150" s="77"/>
      <c r="G150" s="79"/>
      <c r="H150" s="84">
        <f t="shared" si="36"/>
        <v>0</v>
      </c>
      <c r="I150" s="84">
        <f t="shared" si="37"/>
        <v>0</v>
      </c>
      <c r="J150" s="79"/>
      <c r="K150" s="84">
        <f t="shared" si="38"/>
        <v>0</v>
      </c>
      <c r="L150" s="79"/>
      <c r="M150" s="84">
        <f t="shared" si="39"/>
        <v>0</v>
      </c>
      <c r="N150" s="79"/>
      <c r="O150" s="84">
        <f t="shared" si="40"/>
        <v>0</v>
      </c>
      <c r="P150" s="84">
        <f t="shared" si="41"/>
        <v>0</v>
      </c>
      <c r="Q150" s="84">
        <f t="shared" si="42"/>
        <v>0</v>
      </c>
      <c r="R150" s="85">
        <f t="shared" si="43"/>
        <v>0</v>
      </c>
      <c r="S150" s="85">
        <f t="shared" si="44"/>
        <v>0</v>
      </c>
      <c r="T150" s="79"/>
      <c r="U150" s="79"/>
      <c r="V150" s="79"/>
      <c r="W150" s="79"/>
      <c r="X150" s="79"/>
      <c r="Y150" s="82"/>
      <c r="Z150" s="79"/>
      <c r="AA150" s="79"/>
      <c r="AB150" s="79"/>
      <c r="AC150" s="79"/>
      <c r="AD150" s="79"/>
      <c r="AE150" s="79"/>
      <c r="AF150" s="79"/>
      <c r="AG150" s="79"/>
      <c r="AH150" s="79"/>
    </row>
    <row r="151" spans="1:34" x14ac:dyDescent="0.2">
      <c r="A151" s="74">
        <v>140</v>
      </c>
      <c r="B151" s="75"/>
      <c r="C151" s="78"/>
      <c r="D151" s="78"/>
      <c r="E151" s="76"/>
      <c r="F151" s="77"/>
      <c r="G151" s="79"/>
      <c r="H151" s="84">
        <f t="shared" si="36"/>
        <v>0</v>
      </c>
      <c r="I151" s="84">
        <f t="shared" si="37"/>
        <v>0</v>
      </c>
      <c r="J151" s="79"/>
      <c r="K151" s="84">
        <f t="shared" si="38"/>
        <v>0</v>
      </c>
      <c r="L151" s="79"/>
      <c r="M151" s="84">
        <f t="shared" si="39"/>
        <v>0</v>
      </c>
      <c r="N151" s="79"/>
      <c r="O151" s="84">
        <f t="shared" si="40"/>
        <v>0</v>
      </c>
      <c r="P151" s="84">
        <f t="shared" si="41"/>
        <v>0</v>
      </c>
      <c r="Q151" s="84">
        <f t="shared" si="42"/>
        <v>0</v>
      </c>
      <c r="R151" s="85">
        <f t="shared" si="43"/>
        <v>0</v>
      </c>
      <c r="S151" s="85">
        <f t="shared" si="44"/>
        <v>0</v>
      </c>
      <c r="T151" s="79"/>
      <c r="U151" s="79"/>
      <c r="V151" s="79"/>
      <c r="W151" s="79"/>
      <c r="X151" s="79"/>
      <c r="Y151" s="82"/>
      <c r="Z151" s="79"/>
      <c r="AA151" s="79"/>
      <c r="AB151" s="79"/>
      <c r="AC151" s="79"/>
      <c r="AD151" s="79"/>
      <c r="AE151" s="79"/>
      <c r="AF151" s="79"/>
      <c r="AG151" s="79"/>
      <c r="AH151" s="79"/>
    </row>
    <row r="152" spans="1:34" x14ac:dyDescent="0.2">
      <c r="A152" s="74">
        <v>141</v>
      </c>
      <c r="B152" s="75"/>
      <c r="C152" s="78"/>
      <c r="D152" s="78"/>
      <c r="E152" s="76"/>
      <c r="F152" s="77"/>
      <c r="G152" s="79"/>
      <c r="H152" s="84">
        <f t="shared" si="36"/>
        <v>0</v>
      </c>
      <c r="I152" s="84">
        <f t="shared" si="37"/>
        <v>0</v>
      </c>
      <c r="J152" s="79"/>
      <c r="K152" s="84">
        <f t="shared" si="38"/>
        <v>0</v>
      </c>
      <c r="L152" s="79"/>
      <c r="M152" s="84">
        <f t="shared" si="39"/>
        <v>0</v>
      </c>
      <c r="N152" s="79"/>
      <c r="O152" s="84">
        <f t="shared" si="40"/>
        <v>0</v>
      </c>
      <c r="P152" s="84">
        <f t="shared" si="41"/>
        <v>0</v>
      </c>
      <c r="Q152" s="84">
        <f t="shared" si="42"/>
        <v>0</v>
      </c>
      <c r="R152" s="85">
        <f t="shared" si="43"/>
        <v>0</v>
      </c>
      <c r="S152" s="85">
        <f t="shared" si="44"/>
        <v>0</v>
      </c>
      <c r="T152" s="79"/>
      <c r="U152" s="79"/>
      <c r="V152" s="79"/>
      <c r="W152" s="79"/>
      <c r="X152" s="79"/>
      <c r="Y152" s="82"/>
      <c r="Z152" s="79"/>
      <c r="AA152" s="79"/>
      <c r="AB152" s="79"/>
      <c r="AC152" s="79"/>
      <c r="AD152" s="79"/>
      <c r="AE152" s="79"/>
      <c r="AF152" s="79"/>
      <c r="AG152" s="79"/>
      <c r="AH152" s="79"/>
    </row>
    <row r="153" spans="1:34" x14ac:dyDescent="0.2">
      <c r="A153" s="74">
        <v>142</v>
      </c>
      <c r="B153" s="75"/>
      <c r="C153" s="78"/>
      <c r="D153" s="78"/>
      <c r="E153" s="76"/>
      <c r="F153" s="77"/>
      <c r="G153" s="79"/>
      <c r="H153" s="84">
        <f t="shared" si="36"/>
        <v>0</v>
      </c>
      <c r="I153" s="84">
        <f t="shared" si="37"/>
        <v>0</v>
      </c>
      <c r="J153" s="79"/>
      <c r="K153" s="84">
        <f t="shared" si="38"/>
        <v>0</v>
      </c>
      <c r="L153" s="79"/>
      <c r="M153" s="84">
        <f t="shared" si="39"/>
        <v>0</v>
      </c>
      <c r="N153" s="79"/>
      <c r="O153" s="84">
        <f t="shared" si="40"/>
        <v>0</v>
      </c>
      <c r="P153" s="84">
        <f t="shared" si="41"/>
        <v>0</v>
      </c>
      <c r="Q153" s="84">
        <f t="shared" si="42"/>
        <v>0</v>
      </c>
      <c r="R153" s="85">
        <f t="shared" si="43"/>
        <v>0</v>
      </c>
      <c r="S153" s="85">
        <f t="shared" si="44"/>
        <v>0</v>
      </c>
      <c r="T153" s="79"/>
      <c r="U153" s="79"/>
      <c r="V153" s="79"/>
      <c r="W153" s="79"/>
      <c r="X153" s="79"/>
      <c r="Y153" s="82"/>
      <c r="Z153" s="79"/>
      <c r="AA153" s="79"/>
      <c r="AB153" s="79"/>
      <c r="AC153" s="79"/>
      <c r="AD153" s="79"/>
      <c r="AE153" s="79"/>
      <c r="AF153" s="79"/>
      <c r="AG153" s="79"/>
      <c r="AH153" s="79"/>
    </row>
    <row r="154" spans="1:34" x14ac:dyDescent="0.2">
      <c r="A154" s="74">
        <v>143</v>
      </c>
      <c r="B154" s="75"/>
      <c r="C154" s="78"/>
      <c r="D154" s="78"/>
      <c r="E154" s="76"/>
      <c r="F154" s="77"/>
      <c r="G154" s="79"/>
      <c r="H154" s="84">
        <f t="shared" si="36"/>
        <v>0</v>
      </c>
      <c r="I154" s="84">
        <f t="shared" si="37"/>
        <v>0</v>
      </c>
      <c r="J154" s="79"/>
      <c r="K154" s="84">
        <f t="shared" si="38"/>
        <v>0</v>
      </c>
      <c r="L154" s="79"/>
      <c r="M154" s="84">
        <f t="shared" si="39"/>
        <v>0</v>
      </c>
      <c r="N154" s="79"/>
      <c r="O154" s="84">
        <f t="shared" si="40"/>
        <v>0</v>
      </c>
      <c r="P154" s="84">
        <f t="shared" si="41"/>
        <v>0</v>
      </c>
      <c r="Q154" s="84">
        <f t="shared" si="42"/>
        <v>0</v>
      </c>
      <c r="R154" s="85">
        <f t="shared" si="43"/>
        <v>0</v>
      </c>
      <c r="S154" s="85">
        <f t="shared" si="44"/>
        <v>0</v>
      </c>
      <c r="T154" s="79"/>
      <c r="U154" s="79"/>
      <c r="V154" s="79"/>
      <c r="W154" s="79"/>
      <c r="X154" s="79"/>
      <c r="Y154" s="82"/>
      <c r="Z154" s="79"/>
      <c r="AA154" s="79"/>
      <c r="AB154" s="79"/>
      <c r="AC154" s="79"/>
      <c r="AD154" s="79"/>
      <c r="AE154" s="79"/>
      <c r="AF154" s="79"/>
      <c r="AG154" s="79"/>
      <c r="AH154" s="79"/>
    </row>
    <row r="155" spans="1:34" x14ac:dyDescent="0.2">
      <c r="A155" s="74">
        <v>144</v>
      </c>
      <c r="B155" s="75"/>
      <c r="C155" s="78"/>
      <c r="D155" s="78"/>
      <c r="E155" s="76"/>
      <c r="F155" s="77"/>
      <c r="G155" s="79"/>
      <c r="H155" s="84">
        <f t="shared" si="36"/>
        <v>0</v>
      </c>
      <c r="I155" s="84">
        <f t="shared" si="37"/>
        <v>0</v>
      </c>
      <c r="J155" s="79"/>
      <c r="K155" s="84">
        <f t="shared" si="38"/>
        <v>0</v>
      </c>
      <c r="L155" s="79"/>
      <c r="M155" s="84">
        <f t="shared" si="39"/>
        <v>0</v>
      </c>
      <c r="N155" s="79"/>
      <c r="O155" s="84">
        <f t="shared" si="40"/>
        <v>0</v>
      </c>
      <c r="P155" s="84">
        <f t="shared" si="41"/>
        <v>0</v>
      </c>
      <c r="Q155" s="84">
        <f t="shared" si="42"/>
        <v>0</v>
      </c>
      <c r="R155" s="85">
        <f t="shared" si="43"/>
        <v>0</v>
      </c>
      <c r="S155" s="85">
        <f t="shared" si="44"/>
        <v>0</v>
      </c>
      <c r="T155" s="79"/>
      <c r="U155" s="79"/>
      <c r="V155" s="79"/>
      <c r="W155" s="79"/>
      <c r="X155" s="79"/>
      <c r="Y155" s="82"/>
      <c r="Z155" s="79"/>
      <c r="AA155" s="79"/>
      <c r="AB155" s="79"/>
      <c r="AC155" s="79"/>
      <c r="AD155" s="79"/>
      <c r="AE155" s="79"/>
      <c r="AF155" s="79"/>
      <c r="AG155" s="79"/>
      <c r="AH155" s="79"/>
    </row>
    <row r="156" spans="1:34" x14ac:dyDescent="0.2">
      <c r="A156" s="74">
        <v>145</v>
      </c>
      <c r="B156" s="75"/>
      <c r="C156" s="78"/>
      <c r="D156" s="78"/>
      <c r="E156" s="76"/>
      <c r="F156" s="77"/>
      <c r="G156" s="83"/>
      <c r="H156" s="84">
        <f t="shared" si="36"/>
        <v>0</v>
      </c>
      <c r="I156" s="84">
        <f t="shared" si="37"/>
        <v>0</v>
      </c>
      <c r="J156" s="79"/>
      <c r="K156" s="84">
        <f t="shared" si="38"/>
        <v>0</v>
      </c>
      <c r="L156" s="79"/>
      <c r="M156" s="84">
        <f t="shared" si="39"/>
        <v>0</v>
      </c>
      <c r="N156" s="79"/>
      <c r="O156" s="84">
        <f t="shared" si="40"/>
        <v>0</v>
      </c>
      <c r="P156" s="84">
        <f t="shared" si="41"/>
        <v>0</v>
      </c>
      <c r="Q156" s="84">
        <f t="shared" si="42"/>
        <v>0</v>
      </c>
      <c r="R156" s="85">
        <f t="shared" si="43"/>
        <v>0</v>
      </c>
      <c r="S156" s="85">
        <f t="shared" si="44"/>
        <v>0</v>
      </c>
      <c r="T156" s="79"/>
      <c r="U156" s="79"/>
      <c r="V156" s="79"/>
      <c r="W156" s="79"/>
      <c r="X156" s="79"/>
      <c r="Y156" s="82"/>
      <c r="Z156" s="79"/>
      <c r="AA156" s="79"/>
      <c r="AB156" s="79"/>
      <c r="AC156" s="79"/>
      <c r="AD156" s="79"/>
      <c r="AE156" s="79"/>
      <c r="AF156" s="79"/>
      <c r="AG156" s="79"/>
      <c r="AH156" s="79"/>
    </row>
    <row r="157" spans="1:34" x14ac:dyDescent="0.2">
      <c r="A157" s="74">
        <v>146</v>
      </c>
      <c r="B157" s="75"/>
      <c r="C157" s="78"/>
      <c r="D157" s="78"/>
      <c r="E157" s="76"/>
      <c r="F157" s="77"/>
      <c r="G157" s="79"/>
      <c r="H157" s="84">
        <f t="shared" si="36"/>
        <v>0</v>
      </c>
      <c r="I157" s="84">
        <f t="shared" si="37"/>
        <v>0</v>
      </c>
      <c r="J157" s="79"/>
      <c r="K157" s="84">
        <f t="shared" si="38"/>
        <v>0</v>
      </c>
      <c r="L157" s="79"/>
      <c r="M157" s="84">
        <f t="shared" si="39"/>
        <v>0</v>
      </c>
      <c r="N157" s="79"/>
      <c r="O157" s="84">
        <f t="shared" si="40"/>
        <v>0</v>
      </c>
      <c r="P157" s="84">
        <f t="shared" si="41"/>
        <v>0</v>
      </c>
      <c r="Q157" s="84">
        <f t="shared" si="42"/>
        <v>0</v>
      </c>
      <c r="R157" s="85">
        <f t="shared" si="43"/>
        <v>0</v>
      </c>
      <c r="S157" s="85">
        <f t="shared" si="44"/>
        <v>0</v>
      </c>
      <c r="T157" s="79"/>
      <c r="U157" s="79"/>
      <c r="V157" s="79"/>
      <c r="W157" s="79"/>
      <c r="X157" s="79"/>
      <c r="Y157" s="82"/>
      <c r="Z157" s="79"/>
      <c r="AA157" s="79"/>
      <c r="AB157" s="79"/>
      <c r="AC157" s="79"/>
      <c r="AD157" s="79"/>
      <c r="AE157" s="79"/>
      <c r="AF157" s="79"/>
      <c r="AG157" s="79"/>
      <c r="AH157" s="79"/>
    </row>
    <row r="158" spans="1:34" x14ac:dyDescent="0.2">
      <c r="A158" s="74">
        <v>147</v>
      </c>
      <c r="B158" s="75"/>
      <c r="C158" s="78"/>
      <c r="D158" s="78"/>
      <c r="E158" s="76"/>
      <c r="F158" s="77"/>
      <c r="G158" s="79"/>
      <c r="H158" s="84">
        <f t="shared" si="36"/>
        <v>0</v>
      </c>
      <c r="I158" s="84">
        <f t="shared" si="37"/>
        <v>0</v>
      </c>
      <c r="J158" s="79"/>
      <c r="K158" s="84">
        <f t="shared" si="38"/>
        <v>0</v>
      </c>
      <c r="L158" s="79"/>
      <c r="M158" s="84">
        <f t="shared" si="39"/>
        <v>0</v>
      </c>
      <c r="N158" s="79"/>
      <c r="O158" s="84">
        <f t="shared" si="40"/>
        <v>0</v>
      </c>
      <c r="P158" s="84">
        <f t="shared" si="41"/>
        <v>0</v>
      </c>
      <c r="Q158" s="84">
        <f t="shared" si="42"/>
        <v>0</v>
      </c>
      <c r="R158" s="85">
        <f t="shared" si="43"/>
        <v>0</v>
      </c>
      <c r="S158" s="85">
        <f t="shared" si="44"/>
        <v>0</v>
      </c>
      <c r="T158" s="79"/>
      <c r="U158" s="79"/>
      <c r="V158" s="79"/>
      <c r="W158" s="79"/>
      <c r="X158" s="79"/>
      <c r="Y158" s="82"/>
      <c r="Z158" s="79"/>
      <c r="AA158" s="79"/>
      <c r="AB158" s="79"/>
      <c r="AC158" s="79"/>
      <c r="AD158" s="79"/>
      <c r="AE158" s="79"/>
      <c r="AF158" s="79"/>
      <c r="AG158" s="79"/>
      <c r="AH158" s="79"/>
    </row>
    <row r="159" spans="1:34" x14ac:dyDescent="0.2">
      <c r="A159" s="74">
        <v>148</v>
      </c>
      <c r="B159" s="75"/>
      <c r="C159" s="78"/>
      <c r="D159" s="78"/>
      <c r="E159" s="76"/>
      <c r="F159" s="77"/>
      <c r="G159" s="79"/>
      <c r="H159" s="84">
        <f t="shared" si="36"/>
        <v>0</v>
      </c>
      <c r="I159" s="84">
        <f t="shared" si="37"/>
        <v>0</v>
      </c>
      <c r="J159" s="79"/>
      <c r="K159" s="84">
        <f t="shared" si="38"/>
        <v>0</v>
      </c>
      <c r="L159" s="79"/>
      <c r="M159" s="84">
        <f t="shared" si="39"/>
        <v>0</v>
      </c>
      <c r="N159" s="79"/>
      <c r="O159" s="84">
        <f t="shared" si="40"/>
        <v>0</v>
      </c>
      <c r="P159" s="84">
        <f t="shared" si="41"/>
        <v>0</v>
      </c>
      <c r="Q159" s="84">
        <f t="shared" si="42"/>
        <v>0</v>
      </c>
      <c r="R159" s="85">
        <f t="shared" si="43"/>
        <v>0</v>
      </c>
      <c r="S159" s="85">
        <f t="shared" si="44"/>
        <v>0</v>
      </c>
      <c r="T159" s="79"/>
      <c r="U159" s="79"/>
      <c r="V159" s="79"/>
      <c r="W159" s="79"/>
      <c r="X159" s="79"/>
      <c r="Y159" s="82"/>
      <c r="Z159" s="79"/>
      <c r="AA159" s="79"/>
      <c r="AB159" s="79"/>
      <c r="AC159" s="79"/>
      <c r="AD159" s="79"/>
      <c r="AE159" s="79"/>
      <c r="AF159" s="79"/>
      <c r="AG159" s="79"/>
      <c r="AH159" s="79"/>
    </row>
    <row r="160" spans="1:34" x14ac:dyDescent="0.2">
      <c r="A160" s="74">
        <v>149</v>
      </c>
      <c r="B160" s="75"/>
      <c r="C160" s="78"/>
      <c r="D160" s="78"/>
      <c r="E160" s="76"/>
      <c r="F160" s="77"/>
      <c r="G160" s="79"/>
      <c r="H160" s="84">
        <f t="shared" si="36"/>
        <v>0</v>
      </c>
      <c r="I160" s="84">
        <f t="shared" si="37"/>
        <v>0</v>
      </c>
      <c r="J160" s="79"/>
      <c r="K160" s="84">
        <f t="shared" si="38"/>
        <v>0</v>
      </c>
      <c r="L160" s="79"/>
      <c r="M160" s="84">
        <f t="shared" si="39"/>
        <v>0</v>
      </c>
      <c r="N160" s="79"/>
      <c r="O160" s="84">
        <f t="shared" si="40"/>
        <v>0</v>
      </c>
      <c r="P160" s="84">
        <f t="shared" si="41"/>
        <v>0</v>
      </c>
      <c r="Q160" s="84">
        <f t="shared" si="42"/>
        <v>0</v>
      </c>
      <c r="R160" s="85">
        <f t="shared" si="43"/>
        <v>0</v>
      </c>
      <c r="S160" s="85">
        <f t="shared" si="44"/>
        <v>0</v>
      </c>
      <c r="T160" s="79"/>
      <c r="U160" s="79"/>
      <c r="V160" s="79"/>
      <c r="W160" s="79"/>
      <c r="X160" s="79"/>
      <c r="Y160" s="82"/>
      <c r="Z160" s="79"/>
      <c r="AA160" s="79"/>
      <c r="AB160" s="79"/>
      <c r="AC160" s="79"/>
      <c r="AD160" s="79"/>
      <c r="AE160" s="79"/>
      <c r="AF160" s="79"/>
      <c r="AG160" s="79"/>
      <c r="AH160" s="79"/>
    </row>
    <row r="161" spans="1:34" x14ac:dyDescent="0.2">
      <c r="A161" s="74">
        <v>150</v>
      </c>
      <c r="B161" s="75"/>
      <c r="C161" s="78"/>
      <c r="D161" s="78"/>
      <c r="E161" s="76"/>
      <c r="F161" s="77"/>
      <c r="G161" s="79"/>
      <c r="H161" s="84">
        <f t="shared" si="36"/>
        <v>0</v>
      </c>
      <c r="I161" s="84">
        <f t="shared" si="37"/>
        <v>0</v>
      </c>
      <c r="J161" s="79"/>
      <c r="K161" s="84">
        <f t="shared" si="38"/>
        <v>0</v>
      </c>
      <c r="L161" s="79"/>
      <c r="M161" s="84">
        <f t="shared" si="39"/>
        <v>0</v>
      </c>
      <c r="N161" s="79"/>
      <c r="O161" s="84">
        <f t="shared" si="40"/>
        <v>0</v>
      </c>
      <c r="P161" s="84">
        <f t="shared" si="41"/>
        <v>0</v>
      </c>
      <c r="Q161" s="84">
        <f t="shared" si="42"/>
        <v>0</v>
      </c>
      <c r="R161" s="85">
        <f t="shared" si="43"/>
        <v>0</v>
      </c>
      <c r="S161" s="85">
        <f t="shared" si="44"/>
        <v>0</v>
      </c>
      <c r="T161" s="79"/>
      <c r="U161" s="79"/>
      <c r="V161" s="79"/>
      <c r="W161" s="79"/>
      <c r="X161" s="79"/>
      <c r="Y161" s="82"/>
      <c r="Z161" s="79"/>
      <c r="AA161" s="79"/>
      <c r="AB161" s="79"/>
      <c r="AC161" s="79"/>
      <c r="AD161" s="79"/>
      <c r="AE161" s="79"/>
      <c r="AF161" s="79"/>
      <c r="AG161" s="79"/>
      <c r="AH161" s="79"/>
    </row>
    <row r="162" spans="1:34" x14ac:dyDescent="0.2">
      <c r="A162" s="74">
        <v>151</v>
      </c>
      <c r="B162" s="75"/>
      <c r="C162" s="78"/>
      <c r="D162" s="78"/>
      <c r="E162" s="76"/>
      <c r="F162" s="77"/>
      <c r="G162" s="79"/>
      <c r="H162" s="84">
        <f t="shared" si="36"/>
        <v>0</v>
      </c>
      <c r="I162" s="84">
        <f t="shared" si="37"/>
        <v>0</v>
      </c>
      <c r="J162" s="79"/>
      <c r="K162" s="84">
        <f t="shared" si="38"/>
        <v>0</v>
      </c>
      <c r="L162" s="79"/>
      <c r="M162" s="84">
        <f t="shared" si="39"/>
        <v>0</v>
      </c>
      <c r="N162" s="79"/>
      <c r="O162" s="84">
        <f t="shared" si="40"/>
        <v>0</v>
      </c>
      <c r="P162" s="84">
        <f t="shared" si="41"/>
        <v>0</v>
      </c>
      <c r="Q162" s="84">
        <f t="shared" si="42"/>
        <v>0</v>
      </c>
      <c r="R162" s="85">
        <f t="shared" si="43"/>
        <v>0</v>
      </c>
      <c r="S162" s="85">
        <f t="shared" si="44"/>
        <v>0</v>
      </c>
      <c r="T162" s="79"/>
      <c r="U162" s="79"/>
      <c r="V162" s="79"/>
      <c r="W162" s="79"/>
      <c r="X162" s="79"/>
      <c r="Y162" s="82"/>
      <c r="Z162" s="79"/>
      <c r="AA162" s="79"/>
      <c r="AB162" s="79"/>
      <c r="AC162" s="79"/>
      <c r="AD162" s="79"/>
      <c r="AE162" s="79"/>
      <c r="AF162" s="79"/>
      <c r="AG162" s="79"/>
      <c r="AH162" s="79"/>
    </row>
    <row r="163" spans="1:34" x14ac:dyDescent="0.2">
      <c r="A163" s="74">
        <v>152</v>
      </c>
      <c r="B163" s="75"/>
      <c r="C163" s="78"/>
      <c r="D163" s="78"/>
      <c r="E163" s="76"/>
      <c r="F163" s="77"/>
      <c r="G163" s="79"/>
      <c r="H163" s="84">
        <f t="shared" si="36"/>
        <v>0</v>
      </c>
      <c r="I163" s="84">
        <f t="shared" si="37"/>
        <v>0</v>
      </c>
      <c r="J163" s="79"/>
      <c r="K163" s="84">
        <f t="shared" si="38"/>
        <v>0</v>
      </c>
      <c r="L163" s="79"/>
      <c r="M163" s="84">
        <f t="shared" si="39"/>
        <v>0</v>
      </c>
      <c r="N163" s="79"/>
      <c r="O163" s="84">
        <f t="shared" si="40"/>
        <v>0</v>
      </c>
      <c r="P163" s="84">
        <f t="shared" si="41"/>
        <v>0</v>
      </c>
      <c r="Q163" s="84">
        <f t="shared" si="42"/>
        <v>0</v>
      </c>
      <c r="R163" s="85">
        <f t="shared" si="43"/>
        <v>0</v>
      </c>
      <c r="S163" s="85">
        <f t="shared" si="44"/>
        <v>0</v>
      </c>
      <c r="T163" s="79"/>
      <c r="U163" s="79"/>
      <c r="V163" s="79"/>
      <c r="W163" s="79"/>
      <c r="X163" s="79"/>
      <c r="Y163" s="82"/>
      <c r="Z163" s="79"/>
      <c r="AA163" s="79"/>
      <c r="AB163" s="79"/>
      <c r="AC163" s="79"/>
      <c r="AD163" s="79"/>
      <c r="AE163" s="79"/>
      <c r="AF163" s="79"/>
      <c r="AG163" s="79"/>
      <c r="AH163" s="79"/>
    </row>
    <row r="164" spans="1:34" x14ac:dyDescent="0.2">
      <c r="A164" s="74">
        <v>153</v>
      </c>
      <c r="B164" s="75"/>
      <c r="C164" s="78"/>
      <c r="D164" s="78"/>
      <c r="E164" s="76"/>
      <c r="F164" s="77"/>
      <c r="G164" s="79"/>
      <c r="H164" s="84">
        <f t="shared" si="36"/>
        <v>0</v>
      </c>
      <c r="I164" s="84">
        <f t="shared" si="37"/>
        <v>0</v>
      </c>
      <c r="J164" s="79"/>
      <c r="K164" s="84">
        <f t="shared" si="38"/>
        <v>0</v>
      </c>
      <c r="L164" s="79"/>
      <c r="M164" s="84">
        <f t="shared" si="39"/>
        <v>0</v>
      </c>
      <c r="N164" s="79"/>
      <c r="O164" s="84">
        <f t="shared" si="40"/>
        <v>0</v>
      </c>
      <c r="P164" s="84">
        <f t="shared" si="41"/>
        <v>0</v>
      </c>
      <c r="Q164" s="84">
        <f t="shared" si="42"/>
        <v>0</v>
      </c>
      <c r="R164" s="85">
        <f t="shared" si="43"/>
        <v>0</v>
      </c>
      <c r="S164" s="85">
        <f t="shared" si="44"/>
        <v>0</v>
      </c>
      <c r="T164" s="79"/>
      <c r="U164" s="79"/>
      <c r="V164" s="79"/>
      <c r="W164" s="79"/>
      <c r="X164" s="79"/>
      <c r="Y164" s="82"/>
      <c r="Z164" s="79"/>
      <c r="AA164" s="79"/>
      <c r="AB164" s="79"/>
      <c r="AC164" s="79"/>
      <c r="AD164" s="79"/>
      <c r="AE164" s="79"/>
      <c r="AF164" s="79"/>
      <c r="AG164" s="79"/>
      <c r="AH164" s="79"/>
    </row>
    <row r="165" spans="1:34" x14ac:dyDescent="0.2">
      <c r="A165" s="74">
        <v>154</v>
      </c>
      <c r="B165" s="75"/>
      <c r="C165" s="78"/>
      <c r="D165" s="78"/>
      <c r="E165" s="76"/>
      <c r="F165" s="77"/>
      <c r="G165" s="83"/>
      <c r="H165" s="84">
        <f t="shared" si="36"/>
        <v>0</v>
      </c>
      <c r="I165" s="84">
        <f t="shared" si="37"/>
        <v>0</v>
      </c>
      <c r="J165" s="79"/>
      <c r="K165" s="84">
        <f t="shared" si="38"/>
        <v>0</v>
      </c>
      <c r="L165" s="79"/>
      <c r="M165" s="84">
        <f t="shared" si="39"/>
        <v>0</v>
      </c>
      <c r="N165" s="79"/>
      <c r="O165" s="84">
        <f t="shared" si="40"/>
        <v>0</v>
      </c>
      <c r="P165" s="84">
        <f t="shared" si="41"/>
        <v>0</v>
      </c>
      <c r="Q165" s="84">
        <f t="shared" si="42"/>
        <v>0</v>
      </c>
      <c r="R165" s="85">
        <f t="shared" si="43"/>
        <v>0</v>
      </c>
      <c r="S165" s="85">
        <f t="shared" si="44"/>
        <v>0</v>
      </c>
      <c r="T165" s="79"/>
      <c r="U165" s="79"/>
      <c r="V165" s="79"/>
      <c r="W165" s="79"/>
      <c r="X165" s="79"/>
      <c r="Y165" s="82"/>
      <c r="Z165" s="79"/>
      <c r="AA165" s="79"/>
      <c r="AB165" s="79"/>
      <c r="AC165" s="79"/>
      <c r="AD165" s="79"/>
      <c r="AE165" s="79"/>
      <c r="AF165" s="79"/>
      <c r="AG165" s="79"/>
      <c r="AH165" s="79"/>
    </row>
    <row r="166" spans="1:34" x14ac:dyDescent="0.2">
      <c r="A166" s="74">
        <v>155</v>
      </c>
      <c r="B166" s="75"/>
      <c r="C166" s="78"/>
      <c r="D166" s="78"/>
      <c r="E166" s="76"/>
      <c r="F166" s="77"/>
      <c r="G166" s="79"/>
      <c r="H166" s="84">
        <f t="shared" si="36"/>
        <v>0</v>
      </c>
      <c r="I166" s="84">
        <f t="shared" si="37"/>
        <v>0</v>
      </c>
      <c r="J166" s="79"/>
      <c r="K166" s="84">
        <f t="shared" si="38"/>
        <v>0</v>
      </c>
      <c r="L166" s="79"/>
      <c r="M166" s="84">
        <f t="shared" si="39"/>
        <v>0</v>
      </c>
      <c r="N166" s="79"/>
      <c r="O166" s="84">
        <f t="shared" si="40"/>
        <v>0</v>
      </c>
      <c r="P166" s="84">
        <f t="shared" si="41"/>
        <v>0</v>
      </c>
      <c r="Q166" s="84">
        <f t="shared" si="42"/>
        <v>0</v>
      </c>
      <c r="R166" s="85">
        <f t="shared" si="43"/>
        <v>0</v>
      </c>
      <c r="S166" s="85">
        <f t="shared" si="44"/>
        <v>0</v>
      </c>
      <c r="T166" s="79"/>
      <c r="U166" s="79"/>
      <c r="V166" s="79"/>
      <c r="W166" s="79"/>
      <c r="X166" s="79"/>
      <c r="Y166" s="82"/>
      <c r="Z166" s="79"/>
      <c r="AA166" s="79"/>
      <c r="AB166" s="79"/>
      <c r="AC166" s="79"/>
      <c r="AD166" s="79"/>
      <c r="AE166" s="79"/>
      <c r="AF166" s="79"/>
      <c r="AG166" s="79"/>
      <c r="AH166" s="79"/>
    </row>
    <row r="167" spans="1:34" x14ac:dyDescent="0.2">
      <c r="A167" s="74">
        <v>156</v>
      </c>
      <c r="B167" s="75"/>
      <c r="C167" s="78"/>
      <c r="D167" s="78"/>
      <c r="E167" s="76"/>
      <c r="F167" s="77"/>
      <c r="G167" s="79"/>
      <c r="H167" s="84">
        <f t="shared" si="36"/>
        <v>0</v>
      </c>
      <c r="I167" s="84">
        <f t="shared" si="37"/>
        <v>0</v>
      </c>
      <c r="J167" s="79"/>
      <c r="K167" s="84">
        <f t="shared" si="38"/>
        <v>0</v>
      </c>
      <c r="L167" s="79"/>
      <c r="M167" s="84">
        <f t="shared" si="39"/>
        <v>0</v>
      </c>
      <c r="N167" s="79"/>
      <c r="O167" s="84">
        <f t="shared" si="40"/>
        <v>0</v>
      </c>
      <c r="P167" s="84">
        <f t="shared" si="41"/>
        <v>0</v>
      </c>
      <c r="Q167" s="84">
        <f t="shared" si="42"/>
        <v>0</v>
      </c>
      <c r="R167" s="85">
        <f t="shared" si="43"/>
        <v>0</v>
      </c>
      <c r="S167" s="85">
        <f t="shared" si="44"/>
        <v>0</v>
      </c>
      <c r="T167" s="79"/>
      <c r="U167" s="79"/>
      <c r="V167" s="79"/>
      <c r="W167" s="79"/>
      <c r="X167" s="79"/>
      <c r="Y167" s="82"/>
      <c r="Z167" s="79"/>
      <c r="AA167" s="79"/>
      <c r="AB167" s="79"/>
      <c r="AC167" s="79"/>
      <c r="AD167" s="79"/>
      <c r="AE167" s="79"/>
      <c r="AF167" s="79"/>
      <c r="AG167" s="79"/>
      <c r="AH167" s="79"/>
    </row>
    <row r="168" spans="1:34" x14ac:dyDescent="0.2">
      <c r="A168" s="74">
        <v>157</v>
      </c>
      <c r="B168" s="75"/>
      <c r="C168" s="78"/>
      <c r="D168" s="78"/>
      <c r="E168" s="76"/>
      <c r="F168" s="77"/>
      <c r="G168" s="79"/>
      <c r="H168" s="84">
        <f t="shared" si="36"/>
        <v>0</v>
      </c>
      <c r="I168" s="84">
        <f t="shared" si="37"/>
        <v>0</v>
      </c>
      <c r="J168" s="79"/>
      <c r="K168" s="84">
        <f t="shared" si="38"/>
        <v>0</v>
      </c>
      <c r="L168" s="79"/>
      <c r="M168" s="84">
        <f t="shared" si="39"/>
        <v>0</v>
      </c>
      <c r="N168" s="79"/>
      <c r="O168" s="84">
        <f t="shared" si="40"/>
        <v>0</v>
      </c>
      <c r="P168" s="84">
        <f t="shared" si="41"/>
        <v>0</v>
      </c>
      <c r="Q168" s="84">
        <f t="shared" si="42"/>
        <v>0</v>
      </c>
      <c r="R168" s="85">
        <f t="shared" si="43"/>
        <v>0</v>
      </c>
      <c r="S168" s="85">
        <f t="shared" si="44"/>
        <v>0</v>
      </c>
      <c r="T168" s="79"/>
      <c r="U168" s="79"/>
      <c r="V168" s="79"/>
      <c r="W168" s="79"/>
      <c r="X168" s="79"/>
      <c r="Y168" s="82"/>
      <c r="Z168" s="79"/>
      <c r="AA168" s="79"/>
      <c r="AB168" s="79"/>
      <c r="AC168" s="79"/>
      <c r="AD168" s="79"/>
      <c r="AE168" s="79"/>
      <c r="AF168" s="79"/>
      <c r="AG168" s="79"/>
      <c r="AH168" s="79"/>
    </row>
    <row r="169" spans="1:34" x14ac:dyDescent="0.2">
      <c r="A169" s="74">
        <v>158</v>
      </c>
      <c r="B169" s="75"/>
      <c r="C169" s="78"/>
      <c r="D169" s="78"/>
      <c r="E169" s="76"/>
      <c r="F169" s="77"/>
      <c r="G169" s="79"/>
      <c r="H169" s="84">
        <f t="shared" si="36"/>
        <v>0</v>
      </c>
      <c r="I169" s="84">
        <f t="shared" si="37"/>
        <v>0</v>
      </c>
      <c r="J169" s="79"/>
      <c r="K169" s="84">
        <f t="shared" si="38"/>
        <v>0</v>
      </c>
      <c r="L169" s="79"/>
      <c r="M169" s="84">
        <f t="shared" si="39"/>
        <v>0</v>
      </c>
      <c r="N169" s="79"/>
      <c r="O169" s="84">
        <f t="shared" si="40"/>
        <v>0</v>
      </c>
      <c r="P169" s="84">
        <f t="shared" si="41"/>
        <v>0</v>
      </c>
      <c r="Q169" s="84">
        <f t="shared" si="42"/>
        <v>0</v>
      </c>
      <c r="R169" s="85">
        <f t="shared" si="43"/>
        <v>0</v>
      </c>
      <c r="S169" s="85">
        <f t="shared" si="44"/>
        <v>0</v>
      </c>
      <c r="T169" s="79"/>
      <c r="U169" s="79"/>
      <c r="V169" s="79"/>
      <c r="W169" s="79"/>
      <c r="X169" s="79"/>
      <c r="Y169" s="82"/>
      <c r="Z169" s="79"/>
      <c r="AA169" s="79"/>
      <c r="AB169" s="79"/>
      <c r="AC169" s="79"/>
      <c r="AD169" s="79"/>
      <c r="AE169" s="79"/>
      <c r="AF169" s="79"/>
      <c r="AG169" s="79"/>
      <c r="AH169" s="79"/>
    </row>
    <row r="170" spans="1:34" x14ac:dyDescent="0.2">
      <c r="A170" s="74">
        <v>159</v>
      </c>
      <c r="B170" s="75"/>
      <c r="C170" s="78"/>
      <c r="D170" s="78"/>
      <c r="E170" s="76"/>
      <c r="F170" s="77"/>
      <c r="G170" s="79"/>
      <c r="H170" s="84">
        <f t="shared" si="36"/>
        <v>0</v>
      </c>
      <c r="I170" s="84">
        <f t="shared" si="37"/>
        <v>0</v>
      </c>
      <c r="J170" s="79"/>
      <c r="K170" s="84">
        <f t="shared" si="38"/>
        <v>0</v>
      </c>
      <c r="L170" s="79"/>
      <c r="M170" s="84">
        <f t="shared" si="39"/>
        <v>0</v>
      </c>
      <c r="N170" s="79"/>
      <c r="O170" s="84">
        <f t="shared" si="40"/>
        <v>0</v>
      </c>
      <c r="P170" s="84">
        <f t="shared" si="41"/>
        <v>0</v>
      </c>
      <c r="Q170" s="84">
        <f t="shared" si="42"/>
        <v>0</v>
      </c>
      <c r="R170" s="85">
        <f t="shared" si="43"/>
        <v>0</v>
      </c>
      <c r="S170" s="85">
        <f t="shared" si="44"/>
        <v>0</v>
      </c>
      <c r="T170" s="79"/>
      <c r="U170" s="79"/>
      <c r="V170" s="79"/>
      <c r="W170" s="79"/>
      <c r="X170" s="79"/>
      <c r="Y170" s="82"/>
      <c r="Z170" s="79"/>
      <c r="AA170" s="79"/>
      <c r="AB170" s="79"/>
      <c r="AC170" s="79"/>
      <c r="AD170" s="79"/>
      <c r="AE170" s="79"/>
      <c r="AF170" s="79"/>
      <c r="AG170" s="79"/>
      <c r="AH170" s="79"/>
    </row>
    <row r="171" spans="1:34" x14ac:dyDescent="0.2">
      <c r="A171" s="74">
        <v>160</v>
      </c>
      <c r="B171" s="75"/>
      <c r="C171" s="78"/>
      <c r="D171" s="78"/>
      <c r="E171" s="76"/>
      <c r="F171" s="77"/>
      <c r="G171" s="79"/>
      <c r="H171" s="84">
        <f t="shared" si="36"/>
        <v>0</v>
      </c>
      <c r="I171" s="84">
        <f t="shared" si="37"/>
        <v>0</v>
      </c>
      <c r="J171" s="79"/>
      <c r="K171" s="84">
        <f t="shared" si="38"/>
        <v>0</v>
      </c>
      <c r="L171" s="79"/>
      <c r="M171" s="84">
        <f t="shared" si="39"/>
        <v>0</v>
      </c>
      <c r="N171" s="79"/>
      <c r="O171" s="84">
        <f t="shared" si="40"/>
        <v>0</v>
      </c>
      <c r="P171" s="84">
        <f t="shared" si="41"/>
        <v>0</v>
      </c>
      <c r="Q171" s="84">
        <f t="shared" si="42"/>
        <v>0</v>
      </c>
      <c r="R171" s="85">
        <f t="shared" si="43"/>
        <v>0</v>
      </c>
      <c r="S171" s="85">
        <f t="shared" si="44"/>
        <v>0</v>
      </c>
      <c r="T171" s="79"/>
      <c r="U171" s="79"/>
      <c r="V171" s="79"/>
      <c r="W171" s="79"/>
      <c r="X171" s="79"/>
      <c r="Y171" s="82"/>
      <c r="Z171" s="79"/>
      <c r="AA171" s="79"/>
      <c r="AB171" s="79"/>
      <c r="AC171" s="79"/>
      <c r="AD171" s="79"/>
      <c r="AE171" s="79"/>
      <c r="AF171" s="79"/>
      <c r="AG171" s="79"/>
      <c r="AH171" s="79"/>
    </row>
    <row r="172" spans="1:34" x14ac:dyDescent="0.2">
      <c r="A172" s="74">
        <v>161</v>
      </c>
      <c r="B172" s="75"/>
      <c r="C172" s="78"/>
      <c r="D172" s="78"/>
      <c r="E172" s="76"/>
      <c r="F172" s="77"/>
      <c r="G172" s="79"/>
      <c r="H172" s="84">
        <f t="shared" si="36"/>
        <v>0</v>
      </c>
      <c r="I172" s="84">
        <f t="shared" si="37"/>
        <v>0</v>
      </c>
      <c r="J172" s="79"/>
      <c r="K172" s="84">
        <f t="shared" si="38"/>
        <v>0</v>
      </c>
      <c r="L172" s="79"/>
      <c r="M172" s="84">
        <f t="shared" si="39"/>
        <v>0</v>
      </c>
      <c r="N172" s="79"/>
      <c r="O172" s="84">
        <f t="shared" si="40"/>
        <v>0</v>
      </c>
      <c r="P172" s="84">
        <f t="shared" si="41"/>
        <v>0</v>
      </c>
      <c r="Q172" s="84">
        <f t="shared" si="42"/>
        <v>0</v>
      </c>
      <c r="R172" s="85">
        <f t="shared" si="43"/>
        <v>0</v>
      </c>
      <c r="S172" s="85">
        <f t="shared" si="44"/>
        <v>0</v>
      </c>
      <c r="T172" s="79"/>
      <c r="U172" s="79"/>
      <c r="V172" s="79"/>
      <c r="W172" s="79"/>
      <c r="X172" s="79"/>
      <c r="Y172" s="82"/>
      <c r="Z172" s="79"/>
      <c r="AA172" s="79"/>
      <c r="AB172" s="79"/>
      <c r="AC172" s="79"/>
      <c r="AD172" s="79"/>
      <c r="AE172" s="79"/>
      <c r="AF172" s="79"/>
      <c r="AG172" s="79"/>
      <c r="AH172" s="79"/>
    </row>
    <row r="173" spans="1:34" x14ac:dyDescent="0.2">
      <c r="A173" s="74">
        <v>162</v>
      </c>
      <c r="B173" s="75"/>
      <c r="C173" s="78"/>
      <c r="D173" s="78"/>
      <c r="E173" s="76"/>
      <c r="F173" s="77"/>
      <c r="G173" s="79"/>
      <c r="H173" s="84">
        <f t="shared" si="36"/>
        <v>0</v>
      </c>
      <c r="I173" s="84">
        <f t="shared" si="37"/>
        <v>0</v>
      </c>
      <c r="J173" s="79"/>
      <c r="K173" s="84">
        <f t="shared" si="38"/>
        <v>0</v>
      </c>
      <c r="L173" s="79"/>
      <c r="M173" s="84">
        <f t="shared" si="39"/>
        <v>0</v>
      </c>
      <c r="N173" s="79"/>
      <c r="O173" s="84">
        <f t="shared" si="40"/>
        <v>0</v>
      </c>
      <c r="P173" s="84">
        <f t="shared" si="41"/>
        <v>0</v>
      </c>
      <c r="Q173" s="84">
        <f t="shared" si="42"/>
        <v>0</v>
      </c>
      <c r="R173" s="85">
        <f t="shared" si="43"/>
        <v>0</v>
      </c>
      <c r="S173" s="85">
        <f t="shared" si="44"/>
        <v>0</v>
      </c>
      <c r="T173" s="79"/>
      <c r="U173" s="79"/>
      <c r="V173" s="79"/>
      <c r="W173" s="79"/>
      <c r="X173" s="79"/>
      <c r="Y173" s="82"/>
      <c r="Z173" s="79"/>
      <c r="AA173" s="79"/>
      <c r="AB173" s="79"/>
      <c r="AC173" s="79"/>
      <c r="AD173" s="79"/>
      <c r="AE173" s="79"/>
      <c r="AF173" s="79"/>
      <c r="AG173" s="79"/>
      <c r="AH173" s="79"/>
    </row>
    <row r="174" spans="1:34" x14ac:dyDescent="0.2">
      <c r="A174" s="74">
        <v>163</v>
      </c>
      <c r="B174" s="75"/>
      <c r="C174" s="78"/>
      <c r="D174" s="78"/>
      <c r="E174" s="76"/>
      <c r="F174" s="77"/>
      <c r="G174" s="83"/>
      <c r="H174" s="84">
        <f t="shared" si="36"/>
        <v>0</v>
      </c>
      <c r="I174" s="84">
        <f t="shared" si="37"/>
        <v>0</v>
      </c>
      <c r="J174" s="79"/>
      <c r="K174" s="84">
        <f t="shared" si="38"/>
        <v>0</v>
      </c>
      <c r="L174" s="79"/>
      <c r="M174" s="84">
        <f t="shared" si="39"/>
        <v>0</v>
      </c>
      <c r="N174" s="79"/>
      <c r="O174" s="84">
        <f t="shared" si="40"/>
        <v>0</v>
      </c>
      <c r="P174" s="84">
        <f t="shared" si="41"/>
        <v>0</v>
      </c>
      <c r="Q174" s="84">
        <f t="shared" si="42"/>
        <v>0</v>
      </c>
      <c r="R174" s="85">
        <f t="shared" si="43"/>
        <v>0</v>
      </c>
      <c r="S174" s="85">
        <f t="shared" si="44"/>
        <v>0</v>
      </c>
      <c r="T174" s="79"/>
      <c r="U174" s="79"/>
      <c r="V174" s="79"/>
      <c r="W174" s="79"/>
      <c r="X174" s="79"/>
      <c r="Y174" s="82"/>
      <c r="Z174" s="79"/>
      <c r="AA174" s="79"/>
      <c r="AB174" s="79"/>
      <c r="AC174" s="79"/>
      <c r="AD174" s="79"/>
      <c r="AE174" s="79"/>
      <c r="AF174" s="79"/>
      <c r="AG174" s="79"/>
      <c r="AH174" s="79"/>
    </row>
    <row r="175" spans="1:34" x14ac:dyDescent="0.2">
      <c r="A175" s="74">
        <v>164</v>
      </c>
      <c r="B175" s="75"/>
      <c r="C175" s="78"/>
      <c r="D175" s="78"/>
      <c r="E175" s="76"/>
      <c r="F175" s="77"/>
      <c r="G175" s="79"/>
      <c r="H175" s="84">
        <f t="shared" si="36"/>
        <v>0</v>
      </c>
      <c r="I175" s="84">
        <f t="shared" si="37"/>
        <v>0</v>
      </c>
      <c r="J175" s="79"/>
      <c r="K175" s="84">
        <f t="shared" si="38"/>
        <v>0</v>
      </c>
      <c r="L175" s="79"/>
      <c r="M175" s="84">
        <f t="shared" si="39"/>
        <v>0</v>
      </c>
      <c r="N175" s="79"/>
      <c r="O175" s="84">
        <f t="shared" si="40"/>
        <v>0</v>
      </c>
      <c r="P175" s="84">
        <f t="shared" si="41"/>
        <v>0</v>
      </c>
      <c r="Q175" s="84">
        <f t="shared" si="42"/>
        <v>0</v>
      </c>
      <c r="R175" s="85">
        <f t="shared" si="43"/>
        <v>0</v>
      </c>
      <c r="S175" s="85">
        <f t="shared" si="44"/>
        <v>0</v>
      </c>
      <c r="T175" s="79"/>
      <c r="U175" s="79"/>
      <c r="V175" s="79"/>
      <c r="W175" s="79"/>
      <c r="X175" s="79"/>
      <c r="Y175" s="82"/>
      <c r="Z175" s="79"/>
      <c r="AA175" s="79"/>
      <c r="AB175" s="79"/>
      <c r="AC175" s="79"/>
      <c r="AD175" s="79"/>
      <c r="AE175" s="79"/>
      <c r="AF175" s="79"/>
      <c r="AG175" s="79"/>
      <c r="AH175" s="79"/>
    </row>
    <row r="176" spans="1:34" x14ac:dyDescent="0.2">
      <c r="A176" s="74">
        <v>165</v>
      </c>
      <c r="B176" s="75"/>
      <c r="C176" s="78"/>
      <c r="D176" s="78"/>
      <c r="E176" s="76"/>
      <c r="F176" s="77"/>
      <c r="G176" s="79"/>
      <c r="H176" s="84">
        <f t="shared" si="36"/>
        <v>0</v>
      </c>
      <c r="I176" s="84">
        <f t="shared" si="37"/>
        <v>0</v>
      </c>
      <c r="J176" s="79"/>
      <c r="K176" s="84">
        <f t="shared" si="38"/>
        <v>0</v>
      </c>
      <c r="L176" s="79"/>
      <c r="M176" s="84">
        <f t="shared" si="39"/>
        <v>0</v>
      </c>
      <c r="N176" s="79"/>
      <c r="O176" s="84">
        <f t="shared" si="40"/>
        <v>0</v>
      </c>
      <c r="P176" s="84">
        <f t="shared" si="41"/>
        <v>0</v>
      </c>
      <c r="Q176" s="84">
        <f t="shared" si="42"/>
        <v>0</v>
      </c>
      <c r="R176" s="85">
        <f t="shared" si="43"/>
        <v>0</v>
      </c>
      <c r="S176" s="85">
        <f t="shared" si="44"/>
        <v>0</v>
      </c>
      <c r="T176" s="79"/>
      <c r="U176" s="79"/>
      <c r="V176" s="79"/>
      <c r="W176" s="79"/>
      <c r="X176" s="79"/>
      <c r="Y176" s="82"/>
      <c r="Z176" s="79"/>
      <c r="AA176" s="79"/>
      <c r="AB176" s="79"/>
      <c r="AC176" s="79"/>
      <c r="AD176" s="79"/>
      <c r="AE176" s="79"/>
      <c r="AF176" s="79"/>
      <c r="AG176" s="79"/>
      <c r="AH176" s="79"/>
    </row>
    <row r="177" spans="1:34" x14ac:dyDescent="0.2">
      <c r="A177" s="74">
        <v>166</v>
      </c>
      <c r="B177" s="75"/>
      <c r="C177" s="78"/>
      <c r="D177" s="78"/>
      <c r="E177" s="76"/>
      <c r="F177" s="77"/>
      <c r="G177" s="79"/>
      <c r="H177" s="84">
        <f t="shared" si="36"/>
        <v>0</v>
      </c>
      <c r="I177" s="84">
        <f t="shared" si="37"/>
        <v>0</v>
      </c>
      <c r="J177" s="79"/>
      <c r="K177" s="84">
        <f t="shared" si="38"/>
        <v>0</v>
      </c>
      <c r="L177" s="79"/>
      <c r="M177" s="84">
        <f t="shared" si="39"/>
        <v>0</v>
      </c>
      <c r="N177" s="79"/>
      <c r="O177" s="84">
        <f t="shared" si="40"/>
        <v>0</v>
      </c>
      <c r="P177" s="84">
        <f t="shared" si="41"/>
        <v>0</v>
      </c>
      <c r="Q177" s="84">
        <f t="shared" si="42"/>
        <v>0</v>
      </c>
      <c r="R177" s="85">
        <f t="shared" si="43"/>
        <v>0</v>
      </c>
      <c r="S177" s="85">
        <f t="shared" si="44"/>
        <v>0</v>
      </c>
      <c r="T177" s="79"/>
      <c r="U177" s="79"/>
      <c r="V177" s="79"/>
      <c r="W177" s="79"/>
      <c r="X177" s="79"/>
      <c r="Y177" s="82"/>
      <c r="Z177" s="79"/>
      <c r="AA177" s="79"/>
      <c r="AB177" s="79"/>
      <c r="AC177" s="79"/>
      <c r="AD177" s="79"/>
      <c r="AE177" s="79"/>
      <c r="AF177" s="79"/>
      <c r="AG177" s="79"/>
      <c r="AH177" s="79"/>
    </row>
    <row r="178" spans="1:34" x14ac:dyDescent="0.2">
      <c r="A178" s="74">
        <v>167</v>
      </c>
      <c r="B178" s="75"/>
      <c r="C178" s="78"/>
      <c r="D178" s="78"/>
      <c r="E178" s="76"/>
      <c r="F178" s="77"/>
      <c r="G178" s="79"/>
      <c r="H178" s="84">
        <f t="shared" si="36"/>
        <v>0</v>
      </c>
      <c r="I178" s="84">
        <f t="shared" si="37"/>
        <v>0</v>
      </c>
      <c r="J178" s="79"/>
      <c r="K178" s="84">
        <f t="shared" si="38"/>
        <v>0</v>
      </c>
      <c r="L178" s="79"/>
      <c r="M178" s="84">
        <f t="shared" si="39"/>
        <v>0</v>
      </c>
      <c r="N178" s="79"/>
      <c r="O178" s="84">
        <f t="shared" si="40"/>
        <v>0</v>
      </c>
      <c r="P178" s="84">
        <f t="shared" si="41"/>
        <v>0</v>
      </c>
      <c r="Q178" s="84">
        <f t="shared" si="42"/>
        <v>0</v>
      </c>
      <c r="R178" s="85">
        <f t="shared" si="43"/>
        <v>0</v>
      </c>
      <c r="S178" s="85">
        <f t="shared" si="44"/>
        <v>0</v>
      </c>
      <c r="T178" s="79"/>
      <c r="U178" s="79"/>
      <c r="V178" s="79"/>
      <c r="W178" s="79"/>
      <c r="X178" s="79"/>
      <c r="Y178" s="82"/>
      <c r="Z178" s="79"/>
      <c r="AA178" s="79"/>
      <c r="AB178" s="79"/>
      <c r="AC178" s="79"/>
      <c r="AD178" s="79"/>
      <c r="AE178" s="79"/>
      <c r="AF178" s="79"/>
      <c r="AG178" s="79"/>
      <c r="AH178" s="79"/>
    </row>
    <row r="179" spans="1:34" x14ac:dyDescent="0.2">
      <c r="A179" s="74">
        <v>168</v>
      </c>
      <c r="B179" s="75"/>
      <c r="C179" s="78"/>
      <c r="D179" s="78"/>
      <c r="E179" s="76"/>
      <c r="F179" s="77"/>
      <c r="G179" s="79"/>
      <c r="H179" s="84">
        <f t="shared" si="36"/>
        <v>0</v>
      </c>
      <c r="I179" s="84">
        <f t="shared" si="37"/>
        <v>0</v>
      </c>
      <c r="J179" s="79"/>
      <c r="K179" s="84">
        <f t="shared" si="38"/>
        <v>0</v>
      </c>
      <c r="L179" s="79"/>
      <c r="M179" s="84">
        <f t="shared" si="39"/>
        <v>0</v>
      </c>
      <c r="N179" s="79"/>
      <c r="O179" s="84">
        <f t="shared" si="40"/>
        <v>0</v>
      </c>
      <c r="P179" s="84">
        <f t="shared" si="41"/>
        <v>0</v>
      </c>
      <c r="Q179" s="84">
        <f t="shared" si="42"/>
        <v>0</v>
      </c>
      <c r="R179" s="85">
        <f t="shared" si="43"/>
        <v>0</v>
      </c>
      <c r="S179" s="85">
        <f t="shared" si="44"/>
        <v>0</v>
      </c>
      <c r="T179" s="79"/>
      <c r="U179" s="79"/>
      <c r="V179" s="79"/>
      <c r="W179" s="79"/>
      <c r="X179" s="79"/>
      <c r="Y179" s="82"/>
      <c r="Z179" s="79"/>
      <c r="AA179" s="79"/>
      <c r="AB179" s="79"/>
      <c r="AC179" s="79"/>
      <c r="AD179" s="79"/>
      <c r="AE179" s="79"/>
      <c r="AF179" s="79"/>
      <c r="AG179" s="79"/>
      <c r="AH179" s="79"/>
    </row>
    <row r="180" spans="1:34" x14ac:dyDescent="0.2">
      <c r="A180" s="74">
        <v>169</v>
      </c>
      <c r="B180" s="75"/>
      <c r="C180" s="78"/>
      <c r="D180" s="78"/>
      <c r="E180" s="76"/>
      <c r="F180" s="77"/>
      <c r="G180" s="79"/>
      <c r="H180" s="84">
        <f t="shared" si="36"/>
        <v>0</v>
      </c>
      <c r="I180" s="84">
        <f t="shared" si="37"/>
        <v>0</v>
      </c>
      <c r="J180" s="79"/>
      <c r="K180" s="84">
        <f t="shared" si="38"/>
        <v>0</v>
      </c>
      <c r="L180" s="79"/>
      <c r="M180" s="84">
        <f t="shared" si="39"/>
        <v>0</v>
      </c>
      <c r="N180" s="79"/>
      <c r="O180" s="84">
        <f t="shared" si="40"/>
        <v>0</v>
      </c>
      <c r="P180" s="84">
        <f t="shared" si="41"/>
        <v>0</v>
      </c>
      <c r="Q180" s="84">
        <f t="shared" si="42"/>
        <v>0</v>
      </c>
      <c r="R180" s="85">
        <f t="shared" si="43"/>
        <v>0</v>
      </c>
      <c r="S180" s="85">
        <f t="shared" si="44"/>
        <v>0</v>
      </c>
      <c r="T180" s="79"/>
      <c r="U180" s="79"/>
      <c r="V180" s="79"/>
      <c r="W180" s="79"/>
      <c r="X180" s="79"/>
      <c r="Y180" s="82"/>
      <c r="Z180" s="79"/>
      <c r="AA180" s="79"/>
      <c r="AB180" s="79"/>
      <c r="AC180" s="79"/>
      <c r="AD180" s="79"/>
      <c r="AE180" s="79"/>
      <c r="AF180" s="79"/>
      <c r="AG180" s="79"/>
      <c r="AH180" s="79"/>
    </row>
    <row r="181" spans="1:34" x14ac:dyDescent="0.2">
      <c r="A181" s="74">
        <v>170</v>
      </c>
      <c r="B181" s="75"/>
      <c r="C181" s="78"/>
      <c r="D181" s="78"/>
      <c r="E181" s="76"/>
      <c r="F181" s="77"/>
      <c r="G181" s="79"/>
      <c r="H181" s="84">
        <f t="shared" si="36"/>
        <v>0</v>
      </c>
      <c r="I181" s="84">
        <f t="shared" si="37"/>
        <v>0</v>
      </c>
      <c r="J181" s="79"/>
      <c r="K181" s="84">
        <f t="shared" si="38"/>
        <v>0</v>
      </c>
      <c r="L181" s="79"/>
      <c r="M181" s="84">
        <f t="shared" si="39"/>
        <v>0</v>
      </c>
      <c r="N181" s="79"/>
      <c r="O181" s="84">
        <f t="shared" si="40"/>
        <v>0</v>
      </c>
      <c r="P181" s="84">
        <f t="shared" si="41"/>
        <v>0</v>
      </c>
      <c r="Q181" s="84">
        <f t="shared" si="42"/>
        <v>0</v>
      </c>
      <c r="R181" s="85">
        <f t="shared" si="43"/>
        <v>0</v>
      </c>
      <c r="S181" s="85">
        <f t="shared" si="44"/>
        <v>0</v>
      </c>
      <c r="T181" s="79"/>
      <c r="U181" s="79"/>
      <c r="V181" s="79"/>
      <c r="W181" s="79"/>
      <c r="X181" s="79"/>
      <c r="Y181" s="82"/>
      <c r="Z181" s="79"/>
      <c r="AA181" s="79"/>
      <c r="AB181" s="79"/>
      <c r="AC181" s="79"/>
      <c r="AD181" s="79"/>
      <c r="AE181" s="79"/>
      <c r="AF181" s="79"/>
      <c r="AG181" s="79"/>
      <c r="AH181" s="79"/>
    </row>
    <row r="182" spans="1:34" x14ac:dyDescent="0.2">
      <c r="A182" s="74">
        <v>171</v>
      </c>
      <c r="B182" s="75"/>
      <c r="C182" s="78"/>
      <c r="D182" s="78"/>
      <c r="E182" s="76"/>
      <c r="F182" s="77"/>
      <c r="G182" s="79"/>
      <c r="H182" s="84">
        <f t="shared" si="36"/>
        <v>0</v>
      </c>
      <c r="I182" s="84">
        <f t="shared" si="37"/>
        <v>0</v>
      </c>
      <c r="J182" s="79"/>
      <c r="K182" s="84">
        <f t="shared" si="38"/>
        <v>0</v>
      </c>
      <c r="L182" s="79"/>
      <c r="M182" s="84">
        <f t="shared" si="39"/>
        <v>0</v>
      </c>
      <c r="N182" s="79"/>
      <c r="O182" s="84">
        <f t="shared" si="40"/>
        <v>0</v>
      </c>
      <c r="P182" s="84">
        <f t="shared" si="41"/>
        <v>0</v>
      </c>
      <c r="Q182" s="84">
        <f t="shared" si="42"/>
        <v>0</v>
      </c>
      <c r="R182" s="85">
        <f t="shared" si="43"/>
        <v>0</v>
      </c>
      <c r="S182" s="85">
        <f t="shared" si="44"/>
        <v>0</v>
      </c>
      <c r="T182" s="79"/>
      <c r="U182" s="79"/>
      <c r="V182" s="79"/>
      <c r="W182" s="79"/>
      <c r="X182" s="79"/>
      <c r="Y182" s="82"/>
      <c r="Z182" s="79"/>
      <c r="AA182" s="79"/>
      <c r="AB182" s="79"/>
      <c r="AC182" s="79"/>
      <c r="AD182" s="79"/>
      <c r="AE182" s="79"/>
      <c r="AF182" s="79"/>
      <c r="AG182" s="79"/>
      <c r="AH182" s="79"/>
    </row>
    <row r="183" spans="1:34" x14ac:dyDescent="0.2">
      <c r="A183" s="74">
        <v>172</v>
      </c>
      <c r="B183" s="75"/>
      <c r="C183" s="78"/>
      <c r="D183" s="78"/>
      <c r="E183" s="76"/>
      <c r="F183" s="77"/>
      <c r="G183" s="83"/>
      <c r="H183" s="84">
        <f t="shared" si="36"/>
        <v>0</v>
      </c>
      <c r="I183" s="84">
        <f t="shared" si="37"/>
        <v>0</v>
      </c>
      <c r="J183" s="79"/>
      <c r="K183" s="84">
        <f t="shared" si="38"/>
        <v>0</v>
      </c>
      <c r="L183" s="79"/>
      <c r="M183" s="84">
        <f t="shared" si="39"/>
        <v>0</v>
      </c>
      <c r="N183" s="79"/>
      <c r="O183" s="84">
        <f t="shared" si="40"/>
        <v>0</v>
      </c>
      <c r="P183" s="84">
        <f t="shared" si="41"/>
        <v>0</v>
      </c>
      <c r="Q183" s="84">
        <f t="shared" si="42"/>
        <v>0</v>
      </c>
      <c r="R183" s="85">
        <f t="shared" si="43"/>
        <v>0</v>
      </c>
      <c r="S183" s="85">
        <f t="shared" si="44"/>
        <v>0</v>
      </c>
      <c r="T183" s="79"/>
      <c r="U183" s="79"/>
      <c r="V183" s="79"/>
      <c r="W183" s="79"/>
      <c r="X183" s="79"/>
      <c r="Y183" s="82"/>
      <c r="Z183" s="79"/>
      <c r="AA183" s="79"/>
      <c r="AB183" s="79"/>
      <c r="AC183" s="79"/>
      <c r="AD183" s="79"/>
      <c r="AE183" s="79"/>
      <c r="AF183" s="79"/>
      <c r="AG183" s="79"/>
      <c r="AH183" s="79"/>
    </row>
    <row r="184" spans="1:34" x14ac:dyDescent="0.2">
      <c r="A184" s="74">
        <v>173</v>
      </c>
      <c r="B184" s="75"/>
      <c r="C184" s="78"/>
      <c r="D184" s="78"/>
      <c r="E184" s="76"/>
      <c r="F184" s="77"/>
      <c r="G184" s="79"/>
      <c r="H184" s="84">
        <f t="shared" si="36"/>
        <v>0</v>
      </c>
      <c r="I184" s="84">
        <f t="shared" si="37"/>
        <v>0</v>
      </c>
      <c r="J184" s="79"/>
      <c r="K184" s="84">
        <f t="shared" si="38"/>
        <v>0</v>
      </c>
      <c r="L184" s="79"/>
      <c r="M184" s="84">
        <f t="shared" si="39"/>
        <v>0</v>
      </c>
      <c r="N184" s="79"/>
      <c r="O184" s="84">
        <f t="shared" si="40"/>
        <v>0</v>
      </c>
      <c r="P184" s="84">
        <f t="shared" si="41"/>
        <v>0</v>
      </c>
      <c r="Q184" s="84">
        <f t="shared" si="42"/>
        <v>0</v>
      </c>
      <c r="R184" s="85">
        <f t="shared" si="43"/>
        <v>0</v>
      </c>
      <c r="S184" s="85">
        <f t="shared" si="44"/>
        <v>0</v>
      </c>
      <c r="T184" s="79"/>
      <c r="U184" s="79"/>
      <c r="V184" s="79"/>
      <c r="W184" s="79"/>
      <c r="X184" s="79"/>
      <c r="Y184" s="82"/>
      <c r="Z184" s="79"/>
      <c r="AA184" s="79"/>
      <c r="AB184" s="79"/>
      <c r="AC184" s="79"/>
      <c r="AD184" s="79"/>
      <c r="AE184" s="79"/>
      <c r="AF184" s="79"/>
      <c r="AG184" s="79"/>
      <c r="AH184" s="79"/>
    </row>
    <row r="185" spans="1:34" x14ac:dyDescent="0.2">
      <c r="A185" s="74">
        <v>174</v>
      </c>
      <c r="B185" s="75"/>
      <c r="C185" s="78"/>
      <c r="D185" s="78"/>
      <c r="E185" s="76"/>
      <c r="F185" s="77"/>
      <c r="G185" s="79"/>
      <c r="H185" s="84">
        <f t="shared" si="36"/>
        <v>0</v>
      </c>
      <c r="I185" s="84">
        <f t="shared" si="37"/>
        <v>0</v>
      </c>
      <c r="J185" s="79"/>
      <c r="K185" s="84">
        <f t="shared" si="38"/>
        <v>0</v>
      </c>
      <c r="L185" s="79"/>
      <c r="M185" s="84">
        <f t="shared" si="39"/>
        <v>0</v>
      </c>
      <c r="N185" s="79"/>
      <c r="O185" s="84">
        <f t="shared" si="40"/>
        <v>0</v>
      </c>
      <c r="P185" s="84">
        <f t="shared" si="41"/>
        <v>0</v>
      </c>
      <c r="Q185" s="84">
        <f t="shared" si="42"/>
        <v>0</v>
      </c>
      <c r="R185" s="85">
        <f t="shared" si="43"/>
        <v>0</v>
      </c>
      <c r="S185" s="85">
        <f t="shared" si="44"/>
        <v>0</v>
      </c>
      <c r="T185" s="79"/>
      <c r="U185" s="79"/>
      <c r="V185" s="79"/>
      <c r="W185" s="79"/>
      <c r="X185" s="79"/>
      <c r="Y185" s="82"/>
      <c r="Z185" s="79"/>
      <c r="AA185" s="79"/>
      <c r="AB185" s="79"/>
      <c r="AC185" s="79"/>
      <c r="AD185" s="79"/>
      <c r="AE185" s="79"/>
      <c r="AF185" s="79"/>
      <c r="AG185" s="79"/>
      <c r="AH185" s="79"/>
    </row>
    <row r="186" spans="1:34" x14ac:dyDescent="0.2">
      <c r="A186" s="74">
        <v>175</v>
      </c>
      <c r="B186" s="75"/>
      <c r="C186" s="78"/>
      <c r="D186" s="78"/>
      <c r="E186" s="76"/>
      <c r="F186" s="77"/>
      <c r="G186" s="79"/>
      <c r="H186" s="84">
        <f t="shared" si="36"/>
        <v>0</v>
      </c>
      <c r="I186" s="84">
        <f t="shared" si="37"/>
        <v>0</v>
      </c>
      <c r="J186" s="79"/>
      <c r="K186" s="84">
        <f t="shared" si="38"/>
        <v>0</v>
      </c>
      <c r="L186" s="79"/>
      <c r="M186" s="84">
        <f t="shared" si="39"/>
        <v>0</v>
      </c>
      <c r="N186" s="79"/>
      <c r="O186" s="84">
        <f t="shared" si="40"/>
        <v>0</v>
      </c>
      <c r="P186" s="84">
        <f t="shared" si="41"/>
        <v>0</v>
      </c>
      <c r="Q186" s="84">
        <f t="shared" si="42"/>
        <v>0</v>
      </c>
      <c r="R186" s="85">
        <f t="shared" si="43"/>
        <v>0</v>
      </c>
      <c r="S186" s="85">
        <f t="shared" si="44"/>
        <v>0</v>
      </c>
      <c r="T186" s="79"/>
      <c r="U186" s="79"/>
      <c r="V186" s="79"/>
      <c r="W186" s="79"/>
      <c r="X186" s="79"/>
      <c r="Y186" s="82"/>
      <c r="Z186" s="79"/>
      <c r="AA186" s="79"/>
      <c r="AB186" s="79"/>
      <c r="AC186" s="79"/>
      <c r="AD186" s="79"/>
      <c r="AE186" s="79"/>
      <c r="AF186" s="79"/>
      <c r="AG186" s="79"/>
      <c r="AH186" s="79"/>
    </row>
    <row r="187" spans="1:34" x14ac:dyDescent="0.2">
      <c r="A187" s="74">
        <v>176</v>
      </c>
      <c r="B187" s="75"/>
      <c r="C187" s="78"/>
      <c r="D187" s="78"/>
      <c r="E187" s="76"/>
      <c r="F187" s="77"/>
      <c r="G187" s="79"/>
      <c r="H187" s="84">
        <f t="shared" si="36"/>
        <v>0</v>
      </c>
      <c r="I187" s="84">
        <f t="shared" si="37"/>
        <v>0</v>
      </c>
      <c r="J187" s="79"/>
      <c r="K187" s="84">
        <f t="shared" si="38"/>
        <v>0</v>
      </c>
      <c r="L187" s="79"/>
      <c r="M187" s="84">
        <f t="shared" si="39"/>
        <v>0</v>
      </c>
      <c r="N187" s="79"/>
      <c r="O187" s="84">
        <f t="shared" si="40"/>
        <v>0</v>
      </c>
      <c r="P187" s="84">
        <f t="shared" si="41"/>
        <v>0</v>
      </c>
      <c r="Q187" s="84">
        <f t="shared" si="42"/>
        <v>0</v>
      </c>
      <c r="R187" s="85">
        <f t="shared" si="43"/>
        <v>0</v>
      </c>
      <c r="S187" s="85">
        <f t="shared" si="44"/>
        <v>0</v>
      </c>
      <c r="T187" s="79"/>
      <c r="U187" s="79"/>
      <c r="V187" s="79"/>
      <c r="W187" s="79"/>
      <c r="X187" s="79"/>
      <c r="Y187" s="82"/>
      <c r="Z187" s="79"/>
      <c r="AA187" s="79"/>
      <c r="AB187" s="79"/>
      <c r="AC187" s="79"/>
      <c r="AD187" s="79"/>
      <c r="AE187" s="79"/>
      <c r="AF187" s="79"/>
      <c r="AG187" s="79"/>
      <c r="AH187" s="79"/>
    </row>
    <row r="188" spans="1:34" x14ac:dyDescent="0.2">
      <c r="A188" s="74">
        <v>177</v>
      </c>
      <c r="B188" s="75"/>
      <c r="C188" s="78"/>
      <c r="D188" s="78"/>
      <c r="E188" s="76"/>
      <c r="F188" s="77"/>
      <c r="G188" s="79"/>
      <c r="H188" s="84">
        <f t="shared" si="36"/>
        <v>0</v>
      </c>
      <c r="I188" s="84">
        <f t="shared" si="37"/>
        <v>0</v>
      </c>
      <c r="J188" s="79"/>
      <c r="K188" s="84">
        <f t="shared" si="38"/>
        <v>0</v>
      </c>
      <c r="L188" s="79"/>
      <c r="M188" s="84">
        <f t="shared" si="39"/>
        <v>0</v>
      </c>
      <c r="N188" s="79"/>
      <c r="O188" s="84">
        <f t="shared" si="40"/>
        <v>0</v>
      </c>
      <c r="P188" s="84">
        <f t="shared" si="41"/>
        <v>0</v>
      </c>
      <c r="Q188" s="84">
        <f t="shared" si="42"/>
        <v>0</v>
      </c>
      <c r="R188" s="85">
        <f t="shared" si="43"/>
        <v>0</v>
      </c>
      <c r="S188" s="85">
        <f t="shared" si="44"/>
        <v>0</v>
      </c>
      <c r="T188" s="79"/>
      <c r="U188" s="79"/>
      <c r="V188" s="79"/>
      <c r="W188" s="79"/>
      <c r="X188" s="79"/>
      <c r="Y188" s="82"/>
      <c r="Z188" s="79"/>
      <c r="AA188" s="79"/>
      <c r="AB188" s="79"/>
      <c r="AC188" s="79"/>
      <c r="AD188" s="79"/>
      <c r="AE188" s="79"/>
      <c r="AF188" s="79"/>
      <c r="AG188" s="79"/>
      <c r="AH188" s="79"/>
    </row>
    <row r="189" spans="1:34" x14ac:dyDescent="0.2">
      <c r="A189" s="74">
        <v>178</v>
      </c>
      <c r="B189" s="75"/>
      <c r="C189" s="78"/>
      <c r="D189" s="78"/>
      <c r="E189" s="76"/>
      <c r="F189" s="77"/>
      <c r="G189" s="79"/>
      <c r="H189" s="84">
        <f t="shared" si="36"/>
        <v>0</v>
      </c>
      <c r="I189" s="84">
        <f t="shared" si="37"/>
        <v>0</v>
      </c>
      <c r="J189" s="79"/>
      <c r="K189" s="84">
        <f t="shared" si="38"/>
        <v>0</v>
      </c>
      <c r="L189" s="79"/>
      <c r="M189" s="84">
        <f t="shared" si="39"/>
        <v>0</v>
      </c>
      <c r="N189" s="79"/>
      <c r="O189" s="84">
        <f t="shared" si="40"/>
        <v>0</v>
      </c>
      <c r="P189" s="84">
        <f t="shared" si="41"/>
        <v>0</v>
      </c>
      <c r="Q189" s="84">
        <f t="shared" si="42"/>
        <v>0</v>
      </c>
      <c r="R189" s="85">
        <f t="shared" si="43"/>
        <v>0</v>
      </c>
      <c r="S189" s="85">
        <f t="shared" si="44"/>
        <v>0</v>
      </c>
      <c r="T189" s="79"/>
      <c r="U189" s="79"/>
      <c r="V189" s="79"/>
      <c r="W189" s="79"/>
      <c r="X189" s="79"/>
      <c r="Y189" s="82"/>
      <c r="Z189" s="79"/>
      <c r="AA189" s="79"/>
      <c r="AB189" s="79"/>
      <c r="AC189" s="79"/>
      <c r="AD189" s="79"/>
      <c r="AE189" s="79"/>
      <c r="AF189" s="79"/>
      <c r="AG189" s="79"/>
      <c r="AH189" s="79"/>
    </row>
    <row r="190" spans="1:34" x14ac:dyDescent="0.2">
      <c r="A190" s="74">
        <v>179</v>
      </c>
      <c r="B190" s="75"/>
      <c r="C190" s="78"/>
      <c r="D190" s="78"/>
      <c r="E190" s="76"/>
      <c r="F190" s="77"/>
      <c r="G190" s="79"/>
      <c r="H190" s="84">
        <f t="shared" si="36"/>
        <v>0</v>
      </c>
      <c r="I190" s="84">
        <f t="shared" si="37"/>
        <v>0</v>
      </c>
      <c r="J190" s="79"/>
      <c r="K190" s="84">
        <f t="shared" si="38"/>
        <v>0</v>
      </c>
      <c r="L190" s="79"/>
      <c r="M190" s="84">
        <f t="shared" si="39"/>
        <v>0</v>
      </c>
      <c r="N190" s="79"/>
      <c r="O190" s="84">
        <f t="shared" si="40"/>
        <v>0</v>
      </c>
      <c r="P190" s="84">
        <f t="shared" si="41"/>
        <v>0</v>
      </c>
      <c r="Q190" s="84">
        <f t="shared" si="42"/>
        <v>0</v>
      </c>
      <c r="R190" s="85">
        <f t="shared" si="43"/>
        <v>0</v>
      </c>
      <c r="S190" s="85">
        <f t="shared" si="44"/>
        <v>0</v>
      </c>
      <c r="T190" s="79"/>
      <c r="U190" s="79"/>
      <c r="V190" s="79"/>
      <c r="W190" s="79"/>
      <c r="X190" s="79"/>
      <c r="Y190" s="82"/>
      <c r="Z190" s="79"/>
      <c r="AA190" s="79"/>
      <c r="AB190" s="79"/>
      <c r="AC190" s="79"/>
      <c r="AD190" s="79"/>
      <c r="AE190" s="79"/>
      <c r="AF190" s="79"/>
      <c r="AG190" s="79"/>
      <c r="AH190" s="79"/>
    </row>
    <row r="191" spans="1:34" x14ac:dyDescent="0.2">
      <c r="A191" s="74">
        <v>180</v>
      </c>
      <c r="B191" s="75"/>
      <c r="C191" s="78"/>
      <c r="D191" s="78"/>
      <c r="E191" s="76"/>
      <c r="F191" s="77"/>
      <c r="G191" s="79"/>
      <c r="H191" s="84">
        <f t="shared" si="36"/>
        <v>0</v>
      </c>
      <c r="I191" s="84">
        <f t="shared" si="37"/>
        <v>0</v>
      </c>
      <c r="J191" s="79"/>
      <c r="K191" s="84">
        <f t="shared" si="38"/>
        <v>0</v>
      </c>
      <c r="L191" s="79"/>
      <c r="M191" s="84">
        <f t="shared" si="39"/>
        <v>0</v>
      </c>
      <c r="N191" s="79"/>
      <c r="O191" s="84">
        <f t="shared" si="40"/>
        <v>0</v>
      </c>
      <c r="P191" s="84">
        <f t="shared" si="41"/>
        <v>0</v>
      </c>
      <c r="Q191" s="84">
        <f t="shared" si="42"/>
        <v>0</v>
      </c>
      <c r="R191" s="85">
        <f t="shared" si="43"/>
        <v>0</v>
      </c>
      <c r="S191" s="85">
        <f t="shared" si="44"/>
        <v>0</v>
      </c>
      <c r="T191" s="79"/>
      <c r="U191" s="79"/>
      <c r="V191" s="79"/>
      <c r="W191" s="79"/>
      <c r="X191" s="79"/>
      <c r="Y191" s="82"/>
      <c r="Z191" s="79"/>
      <c r="AA191" s="79"/>
      <c r="AB191" s="79"/>
      <c r="AC191" s="79"/>
      <c r="AD191" s="79"/>
      <c r="AE191" s="79"/>
      <c r="AF191" s="79"/>
      <c r="AG191" s="79"/>
      <c r="AH191" s="79"/>
    </row>
    <row r="192" spans="1:34" x14ac:dyDescent="0.2">
      <c r="A192" s="74">
        <v>181</v>
      </c>
      <c r="B192" s="75"/>
      <c r="C192" s="78"/>
      <c r="D192" s="78"/>
      <c r="E192" s="76"/>
      <c r="F192" s="77"/>
      <c r="G192" s="83"/>
      <c r="H192" s="84">
        <f t="shared" si="36"/>
        <v>0</v>
      </c>
      <c r="I192" s="84">
        <f t="shared" si="37"/>
        <v>0</v>
      </c>
      <c r="J192" s="79"/>
      <c r="K192" s="84">
        <f t="shared" si="38"/>
        <v>0</v>
      </c>
      <c r="L192" s="79"/>
      <c r="M192" s="84">
        <f t="shared" si="39"/>
        <v>0</v>
      </c>
      <c r="N192" s="79"/>
      <c r="O192" s="84">
        <f t="shared" si="40"/>
        <v>0</v>
      </c>
      <c r="P192" s="84">
        <f t="shared" si="41"/>
        <v>0</v>
      </c>
      <c r="Q192" s="84">
        <f t="shared" si="42"/>
        <v>0</v>
      </c>
      <c r="R192" s="85">
        <f t="shared" si="43"/>
        <v>0</v>
      </c>
      <c r="S192" s="85">
        <f t="shared" si="44"/>
        <v>0</v>
      </c>
      <c r="T192" s="79"/>
      <c r="U192" s="79"/>
      <c r="V192" s="79"/>
      <c r="W192" s="79"/>
      <c r="X192" s="79"/>
      <c r="Y192" s="82"/>
      <c r="Z192" s="79"/>
      <c r="AA192" s="79"/>
      <c r="AB192" s="79"/>
      <c r="AC192" s="79"/>
      <c r="AD192" s="79"/>
      <c r="AE192" s="79"/>
      <c r="AF192" s="79"/>
      <c r="AG192" s="79"/>
      <c r="AH192" s="79"/>
    </row>
    <row r="193" spans="1:34" x14ac:dyDescent="0.2">
      <c r="A193" s="74">
        <v>182</v>
      </c>
      <c r="B193" s="75"/>
      <c r="C193" s="78"/>
      <c r="D193" s="78"/>
      <c r="E193" s="76"/>
      <c r="F193" s="77"/>
      <c r="G193" s="79"/>
      <c r="H193" s="84">
        <f t="shared" si="36"/>
        <v>0</v>
      </c>
      <c r="I193" s="84">
        <f t="shared" si="37"/>
        <v>0</v>
      </c>
      <c r="J193" s="79"/>
      <c r="K193" s="84">
        <f t="shared" si="38"/>
        <v>0</v>
      </c>
      <c r="L193" s="79"/>
      <c r="M193" s="84">
        <f t="shared" si="39"/>
        <v>0</v>
      </c>
      <c r="N193" s="79"/>
      <c r="O193" s="84">
        <f t="shared" si="40"/>
        <v>0</v>
      </c>
      <c r="P193" s="84">
        <f t="shared" si="41"/>
        <v>0</v>
      </c>
      <c r="Q193" s="84">
        <f t="shared" si="42"/>
        <v>0</v>
      </c>
      <c r="R193" s="85">
        <f t="shared" si="43"/>
        <v>0</v>
      </c>
      <c r="S193" s="85">
        <f t="shared" si="44"/>
        <v>0</v>
      </c>
      <c r="T193" s="79"/>
      <c r="U193" s="79"/>
      <c r="V193" s="79"/>
      <c r="W193" s="79"/>
      <c r="X193" s="79"/>
      <c r="Y193" s="82"/>
      <c r="Z193" s="79"/>
      <c r="AA193" s="79"/>
      <c r="AB193" s="79"/>
      <c r="AC193" s="79"/>
      <c r="AD193" s="79"/>
      <c r="AE193" s="79"/>
      <c r="AF193" s="79"/>
      <c r="AG193" s="79"/>
      <c r="AH193" s="79"/>
    </row>
    <row r="194" spans="1:34" x14ac:dyDescent="0.2">
      <c r="A194" s="74">
        <v>183</v>
      </c>
      <c r="B194" s="75"/>
      <c r="C194" s="78"/>
      <c r="D194" s="78"/>
      <c r="E194" s="76"/>
      <c r="F194" s="77"/>
      <c r="G194" s="79"/>
      <c r="H194" s="84">
        <f t="shared" si="36"/>
        <v>0</v>
      </c>
      <c r="I194" s="84">
        <f t="shared" si="37"/>
        <v>0</v>
      </c>
      <c r="J194" s="79"/>
      <c r="K194" s="84">
        <f t="shared" si="38"/>
        <v>0</v>
      </c>
      <c r="L194" s="79"/>
      <c r="M194" s="84">
        <f t="shared" si="39"/>
        <v>0</v>
      </c>
      <c r="N194" s="79"/>
      <c r="O194" s="84">
        <f t="shared" si="40"/>
        <v>0</v>
      </c>
      <c r="P194" s="84">
        <f t="shared" si="41"/>
        <v>0</v>
      </c>
      <c r="Q194" s="84">
        <f t="shared" si="42"/>
        <v>0</v>
      </c>
      <c r="R194" s="85">
        <f t="shared" si="43"/>
        <v>0</v>
      </c>
      <c r="S194" s="85">
        <f t="shared" si="44"/>
        <v>0</v>
      </c>
      <c r="T194" s="79"/>
      <c r="U194" s="79"/>
      <c r="V194" s="79"/>
      <c r="W194" s="79"/>
      <c r="X194" s="79"/>
      <c r="Y194" s="82"/>
      <c r="Z194" s="79"/>
      <c r="AA194" s="79"/>
      <c r="AB194" s="79"/>
      <c r="AC194" s="79"/>
      <c r="AD194" s="79"/>
      <c r="AE194" s="79"/>
      <c r="AF194" s="79"/>
      <c r="AG194" s="79"/>
      <c r="AH194" s="79"/>
    </row>
    <row r="195" spans="1:34" x14ac:dyDescent="0.2">
      <c r="A195" s="74">
        <v>184</v>
      </c>
      <c r="B195" s="75"/>
      <c r="C195" s="78"/>
      <c r="D195" s="78"/>
      <c r="E195" s="76"/>
      <c r="F195" s="77"/>
      <c r="G195" s="79"/>
      <c r="H195" s="84">
        <f t="shared" si="36"/>
        <v>0</v>
      </c>
      <c r="I195" s="84">
        <f t="shared" si="37"/>
        <v>0</v>
      </c>
      <c r="J195" s="79"/>
      <c r="K195" s="84">
        <f t="shared" si="38"/>
        <v>0</v>
      </c>
      <c r="L195" s="79"/>
      <c r="M195" s="84">
        <f t="shared" si="39"/>
        <v>0</v>
      </c>
      <c r="N195" s="79"/>
      <c r="O195" s="84">
        <f t="shared" si="40"/>
        <v>0</v>
      </c>
      <c r="P195" s="84">
        <f t="shared" si="41"/>
        <v>0</v>
      </c>
      <c r="Q195" s="84">
        <f t="shared" si="42"/>
        <v>0</v>
      </c>
      <c r="R195" s="85">
        <f t="shared" si="43"/>
        <v>0</v>
      </c>
      <c r="S195" s="85">
        <f t="shared" si="44"/>
        <v>0</v>
      </c>
      <c r="T195" s="79"/>
      <c r="U195" s="79"/>
      <c r="V195" s="79"/>
      <c r="W195" s="79"/>
      <c r="X195" s="79"/>
      <c r="Y195" s="82"/>
      <c r="Z195" s="79"/>
      <c r="AA195" s="79"/>
      <c r="AB195" s="79"/>
      <c r="AC195" s="79"/>
      <c r="AD195" s="79"/>
      <c r="AE195" s="79"/>
      <c r="AF195" s="79"/>
      <c r="AG195" s="79"/>
      <c r="AH195" s="79"/>
    </row>
    <row r="196" spans="1:34" x14ac:dyDescent="0.2">
      <c r="A196" s="74">
        <v>185</v>
      </c>
      <c r="B196" s="75"/>
      <c r="C196" s="78"/>
      <c r="D196" s="78"/>
      <c r="E196" s="76"/>
      <c r="F196" s="77"/>
      <c r="G196" s="79"/>
      <c r="H196" s="84">
        <f t="shared" si="36"/>
        <v>0</v>
      </c>
      <c r="I196" s="84">
        <f t="shared" si="37"/>
        <v>0</v>
      </c>
      <c r="J196" s="79"/>
      <c r="K196" s="84">
        <f t="shared" si="38"/>
        <v>0</v>
      </c>
      <c r="L196" s="79"/>
      <c r="M196" s="84">
        <f t="shared" si="39"/>
        <v>0</v>
      </c>
      <c r="N196" s="79"/>
      <c r="O196" s="84">
        <f t="shared" si="40"/>
        <v>0</v>
      </c>
      <c r="P196" s="84">
        <f t="shared" si="41"/>
        <v>0</v>
      </c>
      <c r="Q196" s="84">
        <f t="shared" si="42"/>
        <v>0</v>
      </c>
      <c r="R196" s="85">
        <f t="shared" si="43"/>
        <v>0</v>
      </c>
      <c r="S196" s="85">
        <f t="shared" si="44"/>
        <v>0</v>
      </c>
      <c r="T196" s="79"/>
      <c r="U196" s="79"/>
      <c r="V196" s="79"/>
      <c r="W196" s="79"/>
      <c r="X196" s="79"/>
      <c r="Y196" s="82"/>
      <c r="Z196" s="79"/>
      <c r="AA196" s="79"/>
      <c r="AB196" s="79"/>
      <c r="AC196" s="79"/>
      <c r="AD196" s="79"/>
      <c r="AE196" s="79"/>
      <c r="AF196" s="79"/>
      <c r="AG196" s="79"/>
      <c r="AH196" s="79"/>
    </row>
    <row r="197" spans="1:34" x14ac:dyDescent="0.2">
      <c r="A197" s="74">
        <v>186</v>
      </c>
      <c r="B197" s="75"/>
      <c r="C197" s="78"/>
      <c r="D197" s="78"/>
      <c r="E197" s="76"/>
      <c r="F197" s="77"/>
      <c r="G197" s="79"/>
      <c r="H197" s="84">
        <f t="shared" si="36"/>
        <v>0</v>
      </c>
      <c r="I197" s="84">
        <f t="shared" si="37"/>
        <v>0</v>
      </c>
      <c r="J197" s="79"/>
      <c r="K197" s="84">
        <f t="shared" si="38"/>
        <v>0</v>
      </c>
      <c r="L197" s="79"/>
      <c r="M197" s="84">
        <f t="shared" si="39"/>
        <v>0</v>
      </c>
      <c r="N197" s="79"/>
      <c r="O197" s="84">
        <f t="shared" si="40"/>
        <v>0</v>
      </c>
      <c r="P197" s="84">
        <f t="shared" si="41"/>
        <v>0</v>
      </c>
      <c r="Q197" s="84">
        <f t="shared" si="42"/>
        <v>0</v>
      </c>
      <c r="R197" s="85">
        <f t="shared" si="43"/>
        <v>0</v>
      </c>
      <c r="S197" s="85">
        <f t="shared" si="44"/>
        <v>0</v>
      </c>
      <c r="T197" s="79"/>
      <c r="U197" s="79"/>
      <c r="V197" s="79"/>
      <c r="W197" s="79"/>
      <c r="X197" s="79"/>
      <c r="Y197" s="82"/>
      <c r="Z197" s="79"/>
      <c r="AA197" s="79"/>
      <c r="AB197" s="79"/>
      <c r="AC197" s="79"/>
      <c r="AD197" s="79"/>
      <c r="AE197" s="79"/>
      <c r="AF197" s="79"/>
      <c r="AG197" s="79"/>
      <c r="AH197" s="79"/>
    </row>
    <row r="198" spans="1:34" x14ac:dyDescent="0.2">
      <c r="A198" s="74">
        <v>187</v>
      </c>
      <c r="B198" s="75"/>
      <c r="C198" s="78"/>
      <c r="D198" s="78"/>
      <c r="E198" s="76"/>
      <c r="F198" s="77"/>
      <c r="G198" s="79"/>
      <c r="H198" s="84">
        <f t="shared" si="36"/>
        <v>0</v>
      </c>
      <c r="I198" s="84">
        <f t="shared" si="37"/>
        <v>0</v>
      </c>
      <c r="J198" s="79"/>
      <c r="K198" s="84">
        <f t="shared" si="38"/>
        <v>0</v>
      </c>
      <c r="L198" s="79"/>
      <c r="M198" s="84">
        <f t="shared" si="39"/>
        <v>0</v>
      </c>
      <c r="N198" s="79"/>
      <c r="O198" s="84">
        <f t="shared" si="40"/>
        <v>0</v>
      </c>
      <c r="P198" s="84">
        <f t="shared" si="41"/>
        <v>0</v>
      </c>
      <c r="Q198" s="84">
        <f t="shared" si="42"/>
        <v>0</v>
      </c>
      <c r="R198" s="85">
        <f t="shared" si="43"/>
        <v>0</v>
      </c>
      <c r="S198" s="85">
        <f t="shared" si="44"/>
        <v>0</v>
      </c>
      <c r="T198" s="79"/>
      <c r="U198" s="79"/>
      <c r="V198" s="79"/>
      <c r="W198" s="79"/>
      <c r="X198" s="79"/>
      <c r="Y198" s="82"/>
      <c r="Z198" s="79"/>
      <c r="AA198" s="79"/>
      <c r="AB198" s="79"/>
      <c r="AC198" s="79"/>
      <c r="AD198" s="79"/>
      <c r="AE198" s="79"/>
      <c r="AF198" s="79"/>
      <c r="AG198" s="79"/>
      <c r="AH198" s="79"/>
    </row>
    <row r="199" spans="1:34" x14ac:dyDescent="0.2">
      <c r="A199" s="74">
        <v>188</v>
      </c>
      <c r="B199" s="75"/>
      <c r="C199" s="78"/>
      <c r="D199" s="78"/>
      <c r="E199" s="76"/>
      <c r="F199" s="77"/>
      <c r="G199" s="79"/>
      <c r="H199" s="84">
        <f t="shared" si="36"/>
        <v>0</v>
      </c>
      <c r="I199" s="84">
        <f t="shared" si="37"/>
        <v>0</v>
      </c>
      <c r="J199" s="79"/>
      <c r="K199" s="84">
        <f t="shared" si="38"/>
        <v>0</v>
      </c>
      <c r="L199" s="79"/>
      <c r="M199" s="84">
        <f t="shared" si="39"/>
        <v>0</v>
      </c>
      <c r="N199" s="79"/>
      <c r="O199" s="84">
        <f t="shared" si="40"/>
        <v>0</v>
      </c>
      <c r="P199" s="84">
        <f t="shared" si="41"/>
        <v>0</v>
      </c>
      <c r="Q199" s="84">
        <f t="shared" si="42"/>
        <v>0</v>
      </c>
      <c r="R199" s="85">
        <f t="shared" si="43"/>
        <v>0</v>
      </c>
      <c r="S199" s="85">
        <f t="shared" si="44"/>
        <v>0</v>
      </c>
      <c r="T199" s="79"/>
      <c r="U199" s="79"/>
      <c r="V199" s="79"/>
      <c r="W199" s="79"/>
      <c r="X199" s="79"/>
      <c r="Y199" s="82"/>
      <c r="Z199" s="79"/>
      <c r="AA199" s="79"/>
      <c r="AB199" s="79"/>
      <c r="AC199" s="79"/>
      <c r="AD199" s="79"/>
      <c r="AE199" s="79"/>
      <c r="AF199" s="79"/>
      <c r="AG199" s="79"/>
      <c r="AH199" s="79"/>
    </row>
    <row r="200" spans="1:34" x14ac:dyDescent="0.2">
      <c r="A200" s="74">
        <v>189</v>
      </c>
      <c r="B200" s="75"/>
      <c r="C200" s="78"/>
      <c r="D200" s="78"/>
      <c r="E200" s="76"/>
      <c r="F200" s="77"/>
      <c r="G200" s="79"/>
      <c r="H200" s="84">
        <f t="shared" si="36"/>
        <v>0</v>
      </c>
      <c r="I200" s="84">
        <f t="shared" si="37"/>
        <v>0</v>
      </c>
      <c r="J200" s="79"/>
      <c r="K200" s="84">
        <f t="shared" si="38"/>
        <v>0</v>
      </c>
      <c r="L200" s="79"/>
      <c r="M200" s="84">
        <f t="shared" si="39"/>
        <v>0</v>
      </c>
      <c r="N200" s="79"/>
      <c r="O200" s="84">
        <f t="shared" si="40"/>
        <v>0</v>
      </c>
      <c r="P200" s="84">
        <f t="shared" si="41"/>
        <v>0</v>
      </c>
      <c r="Q200" s="84">
        <f t="shared" si="42"/>
        <v>0</v>
      </c>
      <c r="R200" s="85">
        <f t="shared" si="43"/>
        <v>0</v>
      </c>
      <c r="S200" s="85">
        <f t="shared" si="44"/>
        <v>0</v>
      </c>
      <c r="T200" s="79"/>
      <c r="U200" s="79"/>
      <c r="V200" s="79"/>
      <c r="W200" s="79"/>
      <c r="X200" s="79"/>
      <c r="Y200" s="82"/>
      <c r="Z200" s="79"/>
      <c r="AA200" s="79"/>
      <c r="AB200" s="79"/>
      <c r="AC200" s="79"/>
      <c r="AD200" s="79"/>
      <c r="AE200" s="79"/>
      <c r="AF200" s="79"/>
      <c r="AG200" s="79"/>
      <c r="AH200" s="79"/>
    </row>
    <row r="201" spans="1:34" x14ac:dyDescent="0.2">
      <c r="A201" s="74">
        <v>190</v>
      </c>
      <c r="B201" s="75"/>
      <c r="C201" s="78"/>
      <c r="D201" s="78"/>
      <c r="E201" s="76"/>
      <c r="F201" s="77"/>
      <c r="G201" s="83"/>
      <c r="H201" s="84">
        <f t="shared" si="36"/>
        <v>0</v>
      </c>
      <c r="I201" s="84">
        <f t="shared" si="37"/>
        <v>0</v>
      </c>
      <c r="J201" s="79"/>
      <c r="K201" s="84">
        <f t="shared" si="38"/>
        <v>0</v>
      </c>
      <c r="L201" s="79"/>
      <c r="M201" s="84">
        <f t="shared" si="39"/>
        <v>0</v>
      </c>
      <c r="N201" s="79"/>
      <c r="O201" s="84">
        <f t="shared" si="40"/>
        <v>0</v>
      </c>
      <c r="P201" s="84">
        <f t="shared" si="41"/>
        <v>0</v>
      </c>
      <c r="Q201" s="84">
        <f t="shared" si="42"/>
        <v>0</v>
      </c>
      <c r="R201" s="85">
        <f t="shared" si="43"/>
        <v>0</v>
      </c>
      <c r="S201" s="85">
        <f t="shared" si="44"/>
        <v>0</v>
      </c>
      <c r="T201" s="79"/>
      <c r="U201" s="79"/>
      <c r="V201" s="79"/>
      <c r="W201" s="79"/>
      <c r="X201" s="79"/>
      <c r="Y201" s="82"/>
      <c r="Z201" s="79"/>
      <c r="AA201" s="79"/>
      <c r="AB201" s="79"/>
      <c r="AC201" s="79"/>
      <c r="AD201" s="79"/>
      <c r="AE201" s="79"/>
      <c r="AF201" s="79"/>
      <c r="AG201" s="79"/>
      <c r="AH201" s="79"/>
    </row>
    <row r="202" spans="1:34" x14ac:dyDescent="0.2">
      <c r="A202" s="74">
        <v>191</v>
      </c>
      <c r="B202" s="75"/>
      <c r="C202" s="78"/>
      <c r="D202" s="78"/>
      <c r="E202" s="76"/>
      <c r="F202" s="77"/>
      <c r="G202" s="79"/>
      <c r="H202" s="84">
        <f t="shared" si="36"/>
        <v>0</v>
      </c>
      <c r="I202" s="84">
        <f t="shared" si="37"/>
        <v>0</v>
      </c>
      <c r="J202" s="79"/>
      <c r="K202" s="84">
        <f t="shared" si="38"/>
        <v>0</v>
      </c>
      <c r="L202" s="79"/>
      <c r="M202" s="84">
        <f t="shared" si="39"/>
        <v>0</v>
      </c>
      <c r="N202" s="79"/>
      <c r="O202" s="84">
        <f t="shared" si="40"/>
        <v>0</v>
      </c>
      <c r="P202" s="84">
        <f t="shared" si="41"/>
        <v>0</v>
      </c>
      <c r="Q202" s="84">
        <f t="shared" si="42"/>
        <v>0</v>
      </c>
      <c r="R202" s="85">
        <f t="shared" si="43"/>
        <v>0</v>
      </c>
      <c r="S202" s="85">
        <f t="shared" si="44"/>
        <v>0</v>
      </c>
      <c r="T202" s="79"/>
      <c r="U202" s="79"/>
      <c r="V202" s="79"/>
      <c r="W202" s="79"/>
      <c r="X202" s="79"/>
      <c r="Y202" s="82"/>
      <c r="Z202" s="79"/>
      <c r="AA202" s="79"/>
      <c r="AB202" s="79"/>
      <c r="AC202" s="79"/>
      <c r="AD202" s="79"/>
      <c r="AE202" s="79"/>
      <c r="AF202" s="79"/>
      <c r="AG202" s="79"/>
      <c r="AH202" s="79"/>
    </row>
    <row r="203" spans="1:34" x14ac:dyDescent="0.2">
      <c r="A203" s="74">
        <v>192</v>
      </c>
      <c r="B203" s="75"/>
      <c r="C203" s="78"/>
      <c r="D203" s="78"/>
      <c r="E203" s="76"/>
      <c r="F203" s="77"/>
      <c r="G203" s="79"/>
      <c r="H203" s="84">
        <f t="shared" si="36"/>
        <v>0</v>
      </c>
      <c r="I203" s="84">
        <f t="shared" si="37"/>
        <v>0</v>
      </c>
      <c r="J203" s="79"/>
      <c r="K203" s="84">
        <f t="shared" si="38"/>
        <v>0</v>
      </c>
      <c r="L203" s="79"/>
      <c r="M203" s="84">
        <f t="shared" si="39"/>
        <v>0</v>
      </c>
      <c r="N203" s="79"/>
      <c r="O203" s="84">
        <f t="shared" si="40"/>
        <v>0</v>
      </c>
      <c r="P203" s="84">
        <f t="shared" si="41"/>
        <v>0</v>
      </c>
      <c r="Q203" s="84">
        <f t="shared" si="42"/>
        <v>0</v>
      </c>
      <c r="R203" s="85">
        <f t="shared" si="43"/>
        <v>0</v>
      </c>
      <c r="S203" s="85">
        <f t="shared" si="44"/>
        <v>0</v>
      </c>
      <c r="T203" s="79"/>
      <c r="U203" s="79"/>
      <c r="V203" s="79"/>
      <c r="W203" s="79"/>
      <c r="X203" s="79"/>
      <c r="Y203" s="82"/>
      <c r="Z203" s="79"/>
      <c r="AA203" s="79"/>
      <c r="AB203" s="79"/>
      <c r="AC203" s="79"/>
      <c r="AD203" s="79"/>
      <c r="AE203" s="79"/>
      <c r="AF203" s="79"/>
      <c r="AG203" s="79"/>
      <c r="AH203" s="79"/>
    </row>
    <row r="204" spans="1:34" x14ac:dyDescent="0.2">
      <c r="A204" s="74">
        <v>193</v>
      </c>
      <c r="B204" s="75"/>
      <c r="C204" s="78"/>
      <c r="D204" s="78"/>
      <c r="E204" s="76"/>
      <c r="F204" s="77"/>
      <c r="G204" s="79"/>
      <c r="H204" s="84">
        <f t="shared" si="36"/>
        <v>0</v>
      </c>
      <c r="I204" s="84">
        <f t="shared" si="37"/>
        <v>0</v>
      </c>
      <c r="J204" s="79"/>
      <c r="K204" s="84">
        <f t="shared" si="38"/>
        <v>0</v>
      </c>
      <c r="L204" s="79"/>
      <c r="M204" s="84">
        <f t="shared" si="39"/>
        <v>0</v>
      </c>
      <c r="N204" s="79"/>
      <c r="O204" s="84">
        <f t="shared" si="40"/>
        <v>0</v>
      </c>
      <c r="P204" s="84">
        <f t="shared" si="41"/>
        <v>0</v>
      </c>
      <c r="Q204" s="84">
        <f t="shared" si="42"/>
        <v>0</v>
      </c>
      <c r="R204" s="85">
        <f t="shared" si="43"/>
        <v>0</v>
      </c>
      <c r="S204" s="85">
        <f t="shared" si="44"/>
        <v>0</v>
      </c>
      <c r="T204" s="79"/>
      <c r="U204" s="79"/>
      <c r="V204" s="79"/>
      <c r="W204" s="79"/>
      <c r="X204" s="79"/>
      <c r="Y204" s="82"/>
      <c r="Z204" s="79"/>
      <c r="AA204" s="79"/>
      <c r="AB204" s="79"/>
      <c r="AC204" s="79"/>
      <c r="AD204" s="79"/>
      <c r="AE204" s="79"/>
      <c r="AF204" s="79"/>
      <c r="AG204" s="79"/>
      <c r="AH204" s="79"/>
    </row>
    <row r="205" spans="1:34" x14ac:dyDescent="0.2">
      <c r="A205" s="74">
        <v>194</v>
      </c>
      <c r="B205" s="75"/>
      <c r="C205" s="78"/>
      <c r="D205" s="78"/>
      <c r="E205" s="76"/>
      <c r="F205" s="77"/>
      <c r="G205" s="79"/>
      <c r="H205" s="84">
        <f t="shared" ref="H205:H261" si="45">E205*G205</f>
        <v>0</v>
      </c>
      <c r="I205" s="84">
        <f t="shared" ref="I205:I261" si="46">E205*G205*0.39</f>
        <v>0</v>
      </c>
      <c r="J205" s="79"/>
      <c r="K205" s="84">
        <f t="shared" ref="K205:K261" si="47">J205*0.39</f>
        <v>0</v>
      </c>
      <c r="L205" s="79"/>
      <c r="M205" s="84">
        <f t="shared" ref="M205:M261" si="48">L205*0.39</f>
        <v>0</v>
      </c>
      <c r="N205" s="79"/>
      <c r="O205" s="84">
        <f t="shared" ref="O205:O261" si="49">N205*2.205</f>
        <v>0</v>
      </c>
      <c r="P205" s="84">
        <f t="shared" ref="P205:P261" si="50">SUM(E205*N205)</f>
        <v>0</v>
      </c>
      <c r="Q205" s="84">
        <f t="shared" ref="Q205:Q261" si="51">P205*2.205</f>
        <v>0</v>
      </c>
      <c r="R205" s="85">
        <f t="shared" ref="R205:R261" si="52">SUM(E205*G205*J205)/10000</f>
        <v>0</v>
      </c>
      <c r="S205" s="85">
        <f t="shared" ref="S205:S261" si="53">SUM(E205*G205*J205*L205)/1000000</f>
        <v>0</v>
      </c>
      <c r="T205" s="79"/>
      <c r="U205" s="79"/>
      <c r="V205" s="79"/>
      <c r="W205" s="79"/>
      <c r="X205" s="79"/>
      <c r="Y205" s="82"/>
      <c r="Z205" s="79"/>
      <c r="AA205" s="79"/>
      <c r="AB205" s="79"/>
      <c r="AC205" s="79"/>
      <c r="AD205" s="79"/>
      <c r="AE205" s="79"/>
      <c r="AF205" s="79"/>
      <c r="AG205" s="79"/>
      <c r="AH205" s="79"/>
    </row>
    <row r="206" spans="1:34" x14ac:dyDescent="0.2">
      <c r="A206" s="74">
        <v>195</v>
      </c>
      <c r="B206" s="75"/>
      <c r="C206" s="78"/>
      <c r="D206" s="78"/>
      <c r="E206" s="76"/>
      <c r="F206" s="77"/>
      <c r="G206" s="79"/>
      <c r="H206" s="84">
        <f t="shared" si="45"/>
        <v>0</v>
      </c>
      <c r="I206" s="84">
        <f t="shared" si="46"/>
        <v>0</v>
      </c>
      <c r="J206" s="79"/>
      <c r="K206" s="84">
        <f t="shared" si="47"/>
        <v>0</v>
      </c>
      <c r="L206" s="79"/>
      <c r="M206" s="84">
        <f t="shared" si="48"/>
        <v>0</v>
      </c>
      <c r="N206" s="79"/>
      <c r="O206" s="84">
        <f t="shared" si="49"/>
        <v>0</v>
      </c>
      <c r="P206" s="84">
        <f t="shared" si="50"/>
        <v>0</v>
      </c>
      <c r="Q206" s="84">
        <f t="shared" si="51"/>
        <v>0</v>
      </c>
      <c r="R206" s="85">
        <f t="shared" si="52"/>
        <v>0</v>
      </c>
      <c r="S206" s="85">
        <f t="shared" si="53"/>
        <v>0</v>
      </c>
      <c r="T206" s="79"/>
      <c r="U206" s="79"/>
      <c r="V206" s="79"/>
      <c r="W206" s="79"/>
      <c r="X206" s="79"/>
      <c r="Y206" s="82"/>
      <c r="Z206" s="79"/>
      <c r="AA206" s="79"/>
      <c r="AB206" s="79"/>
      <c r="AC206" s="79"/>
      <c r="AD206" s="79"/>
      <c r="AE206" s="79"/>
      <c r="AF206" s="79"/>
      <c r="AG206" s="79"/>
      <c r="AH206" s="79"/>
    </row>
    <row r="207" spans="1:34" x14ac:dyDescent="0.2">
      <c r="A207" s="74">
        <v>196</v>
      </c>
      <c r="B207" s="75"/>
      <c r="C207" s="78"/>
      <c r="D207" s="78"/>
      <c r="E207" s="76"/>
      <c r="F207" s="77"/>
      <c r="G207" s="79"/>
      <c r="H207" s="84">
        <f t="shared" si="45"/>
        <v>0</v>
      </c>
      <c r="I207" s="84">
        <f t="shared" si="46"/>
        <v>0</v>
      </c>
      <c r="J207" s="79"/>
      <c r="K207" s="84">
        <f t="shared" si="47"/>
        <v>0</v>
      </c>
      <c r="L207" s="79"/>
      <c r="M207" s="84">
        <f t="shared" si="48"/>
        <v>0</v>
      </c>
      <c r="N207" s="79"/>
      <c r="O207" s="84">
        <f t="shared" si="49"/>
        <v>0</v>
      </c>
      <c r="P207" s="84">
        <f t="shared" si="50"/>
        <v>0</v>
      </c>
      <c r="Q207" s="84">
        <f t="shared" si="51"/>
        <v>0</v>
      </c>
      <c r="R207" s="85">
        <f t="shared" si="52"/>
        <v>0</v>
      </c>
      <c r="S207" s="85">
        <f t="shared" si="53"/>
        <v>0</v>
      </c>
      <c r="T207" s="79"/>
      <c r="U207" s="79"/>
      <c r="V207" s="79"/>
      <c r="W207" s="79"/>
      <c r="X207" s="79"/>
      <c r="Y207" s="82"/>
      <c r="Z207" s="79"/>
      <c r="AA207" s="79"/>
      <c r="AB207" s="79"/>
      <c r="AC207" s="79"/>
      <c r="AD207" s="79"/>
      <c r="AE207" s="79"/>
      <c r="AF207" s="79"/>
      <c r="AG207" s="79"/>
      <c r="AH207" s="79"/>
    </row>
    <row r="208" spans="1:34" x14ac:dyDescent="0.2">
      <c r="A208" s="74">
        <v>197</v>
      </c>
      <c r="B208" s="75"/>
      <c r="C208" s="78"/>
      <c r="D208" s="78"/>
      <c r="E208" s="76"/>
      <c r="F208" s="77"/>
      <c r="G208" s="79"/>
      <c r="H208" s="84">
        <f t="shared" si="45"/>
        <v>0</v>
      </c>
      <c r="I208" s="84">
        <f t="shared" si="46"/>
        <v>0</v>
      </c>
      <c r="J208" s="79"/>
      <c r="K208" s="84">
        <f t="shared" si="47"/>
        <v>0</v>
      </c>
      <c r="L208" s="79"/>
      <c r="M208" s="84">
        <f t="shared" si="48"/>
        <v>0</v>
      </c>
      <c r="N208" s="79"/>
      <c r="O208" s="84">
        <f t="shared" si="49"/>
        <v>0</v>
      </c>
      <c r="P208" s="84">
        <f t="shared" si="50"/>
        <v>0</v>
      </c>
      <c r="Q208" s="84">
        <f t="shared" si="51"/>
        <v>0</v>
      </c>
      <c r="R208" s="85">
        <f t="shared" si="52"/>
        <v>0</v>
      </c>
      <c r="S208" s="85">
        <f t="shared" si="53"/>
        <v>0</v>
      </c>
      <c r="T208" s="79"/>
      <c r="U208" s="79"/>
      <c r="V208" s="79"/>
      <c r="W208" s="79"/>
      <c r="X208" s="79"/>
      <c r="Y208" s="82"/>
      <c r="Z208" s="79"/>
      <c r="AA208" s="79"/>
      <c r="AB208" s="79"/>
      <c r="AC208" s="79"/>
      <c r="AD208" s="79"/>
      <c r="AE208" s="79"/>
      <c r="AF208" s="79"/>
      <c r="AG208" s="79"/>
      <c r="AH208" s="79"/>
    </row>
    <row r="209" spans="1:34" x14ac:dyDescent="0.2">
      <c r="A209" s="74">
        <v>198</v>
      </c>
      <c r="B209" s="75"/>
      <c r="C209" s="78"/>
      <c r="D209" s="78"/>
      <c r="E209" s="76"/>
      <c r="F209" s="77"/>
      <c r="G209" s="79"/>
      <c r="H209" s="84">
        <f t="shared" si="45"/>
        <v>0</v>
      </c>
      <c r="I209" s="84">
        <f t="shared" si="46"/>
        <v>0</v>
      </c>
      <c r="J209" s="79"/>
      <c r="K209" s="84">
        <f t="shared" si="47"/>
        <v>0</v>
      </c>
      <c r="L209" s="79"/>
      <c r="M209" s="84">
        <f t="shared" si="48"/>
        <v>0</v>
      </c>
      <c r="N209" s="79"/>
      <c r="O209" s="84">
        <f t="shared" si="49"/>
        <v>0</v>
      </c>
      <c r="P209" s="84">
        <f t="shared" si="50"/>
        <v>0</v>
      </c>
      <c r="Q209" s="84">
        <f t="shared" si="51"/>
        <v>0</v>
      </c>
      <c r="R209" s="85">
        <f t="shared" si="52"/>
        <v>0</v>
      </c>
      <c r="S209" s="85">
        <f t="shared" si="53"/>
        <v>0</v>
      </c>
      <c r="T209" s="79"/>
      <c r="U209" s="79"/>
      <c r="V209" s="79"/>
      <c r="W209" s="79"/>
      <c r="X209" s="79"/>
      <c r="Y209" s="82"/>
      <c r="Z209" s="79"/>
      <c r="AA209" s="79"/>
      <c r="AB209" s="79"/>
      <c r="AC209" s="79"/>
      <c r="AD209" s="79"/>
      <c r="AE209" s="79"/>
      <c r="AF209" s="79"/>
      <c r="AG209" s="79"/>
      <c r="AH209" s="79"/>
    </row>
    <row r="210" spans="1:34" x14ac:dyDescent="0.2">
      <c r="A210" s="74">
        <v>199</v>
      </c>
      <c r="B210" s="75"/>
      <c r="C210" s="78"/>
      <c r="D210" s="78"/>
      <c r="E210" s="76"/>
      <c r="F210" s="77"/>
      <c r="G210" s="83"/>
      <c r="H210" s="84">
        <f t="shared" si="45"/>
        <v>0</v>
      </c>
      <c r="I210" s="84">
        <f t="shared" si="46"/>
        <v>0</v>
      </c>
      <c r="J210" s="79"/>
      <c r="K210" s="84">
        <f t="shared" si="47"/>
        <v>0</v>
      </c>
      <c r="L210" s="79"/>
      <c r="M210" s="84">
        <f t="shared" si="48"/>
        <v>0</v>
      </c>
      <c r="N210" s="79"/>
      <c r="O210" s="84">
        <f t="shared" si="49"/>
        <v>0</v>
      </c>
      <c r="P210" s="84">
        <f t="shared" si="50"/>
        <v>0</v>
      </c>
      <c r="Q210" s="84">
        <f t="shared" si="51"/>
        <v>0</v>
      </c>
      <c r="R210" s="85">
        <f t="shared" si="52"/>
        <v>0</v>
      </c>
      <c r="S210" s="85">
        <f t="shared" si="53"/>
        <v>0</v>
      </c>
      <c r="T210" s="79"/>
      <c r="U210" s="79"/>
      <c r="V210" s="79"/>
      <c r="W210" s="79"/>
      <c r="X210" s="79"/>
      <c r="Y210" s="82"/>
      <c r="Z210" s="79"/>
      <c r="AA210" s="79"/>
      <c r="AB210" s="79"/>
      <c r="AC210" s="79"/>
      <c r="AD210" s="79"/>
      <c r="AE210" s="79"/>
      <c r="AF210" s="79"/>
      <c r="AG210" s="79"/>
      <c r="AH210" s="79"/>
    </row>
    <row r="211" spans="1:34" x14ac:dyDescent="0.2">
      <c r="A211" s="74">
        <v>200</v>
      </c>
      <c r="B211" s="75"/>
      <c r="C211" s="78"/>
      <c r="D211" s="78"/>
      <c r="E211" s="76"/>
      <c r="F211" s="77"/>
      <c r="G211" s="79"/>
      <c r="H211" s="84">
        <f t="shared" si="45"/>
        <v>0</v>
      </c>
      <c r="I211" s="84">
        <f t="shared" si="46"/>
        <v>0</v>
      </c>
      <c r="J211" s="79"/>
      <c r="K211" s="84">
        <f t="shared" si="47"/>
        <v>0</v>
      </c>
      <c r="L211" s="79"/>
      <c r="M211" s="84">
        <f t="shared" si="48"/>
        <v>0</v>
      </c>
      <c r="N211" s="79"/>
      <c r="O211" s="84">
        <f t="shared" si="49"/>
        <v>0</v>
      </c>
      <c r="P211" s="84">
        <f t="shared" si="50"/>
        <v>0</v>
      </c>
      <c r="Q211" s="84">
        <f t="shared" si="51"/>
        <v>0</v>
      </c>
      <c r="R211" s="85">
        <f t="shared" si="52"/>
        <v>0</v>
      </c>
      <c r="S211" s="85">
        <f t="shared" si="53"/>
        <v>0</v>
      </c>
      <c r="T211" s="79"/>
      <c r="U211" s="79"/>
      <c r="V211" s="79"/>
      <c r="W211" s="79"/>
      <c r="X211" s="79"/>
      <c r="Y211" s="82"/>
      <c r="Z211" s="79"/>
      <c r="AA211" s="79"/>
      <c r="AB211" s="79"/>
      <c r="AC211" s="79"/>
      <c r="AD211" s="79"/>
      <c r="AE211" s="79"/>
      <c r="AF211" s="79"/>
      <c r="AG211" s="79"/>
      <c r="AH211" s="79"/>
    </row>
    <row r="212" spans="1:34" x14ac:dyDescent="0.2">
      <c r="A212" s="74">
        <v>201</v>
      </c>
      <c r="B212" s="75"/>
      <c r="C212" s="78"/>
      <c r="D212" s="78"/>
      <c r="E212" s="76"/>
      <c r="F212" s="77"/>
      <c r="G212" s="79"/>
      <c r="H212" s="84">
        <f t="shared" si="45"/>
        <v>0</v>
      </c>
      <c r="I212" s="84">
        <f t="shared" si="46"/>
        <v>0</v>
      </c>
      <c r="J212" s="79"/>
      <c r="K212" s="84">
        <f t="shared" si="47"/>
        <v>0</v>
      </c>
      <c r="L212" s="79"/>
      <c r="M212" s="84">
        <f t="shared" si="48"/>
        <v>0</v>
      </c>
      <c r="N212" s="79"/>
      <c r="O212" s="84">
        <f t="shared" si="49"/>
        <v>0</v>
      </c>
      <c r="P212" s="84">
        <f t="shared" si="50"/>
        <v>0</v>
      </c>
      <c r="Q212" s="84">
        <f t="shared" si="51"/>
        <v>0</v>
      </c>
      <c r="R212" s="85">
        <f t="shared" si="52"/>
        <v>0</v>
      </c>
      <c r="S212" s="85">
        <f t="shared" si="53"/>
        <v>0</v>
      </c>
      <c r="T212" s="79"/>
      <c r="U212" s="79"/>
      <c r="V212" s="79"/>
      <c r="W212" s="79"/>
      <c r="X212" s="79"/>
      <c r="Y212" s="82"/>
      <c r="Z212" s="79"/>
      <c r="AA212" s="79"/>
      <c r="AB212" s="79"/>
      <c r="AC212" s="79"/>
      <c r="AD212" s="79"/>
      <c r="AE212" s="79"/>
      <c r="AF212" s="79"/>
      <c r="AG212" s="79"/>
      <c r="AH212" s="79"/>
    </row>
    <row r="213" spans="1:34" x14ac:dyDescent="0.2">
      <c r="A213" s="74">
        <v>202</v>
      </c>
      <c r="B213" s="78"/>
      <c r="C213" s="78"/>
      <c r="D213" s="78"/>
      <c r="E213" s="76"/>
      <c r="F213" s="77"/>
      <c r="G213" s="79"/>
      <c r="H213" s="84">
        <f t="shared" si="45"/>
        <v>0</v>
      </c>
      <c r="I213" s="84">
        <f t="shared" si="46"/>
        <v>0</v>
      </c>
      <c r="J213" s="79"/>
      <c r="K213" s="84">
        <f t="shared" si="47"/>
        <v>0</v>
      </c>
      <c r="L213" s="79"/>
      <c r="M213" s="84">
        <f t="shared" si="48"/>
        <v>0</v>
      </c>
      <c r="N213" s="79"/>
      <c r="O213" s="84">
        <f t="shared" si="49"/>
        <v>0</v>
      </c>
      <c r="P213" s="84">
        <f t="shared" si="50"/>
        <v>0</v>
      </c>
      <c r="Q213" s="84">
        <f t="shared" si="51"/>
        <v>0</v>
      </c>
      <c r="R213" s="85">
        <f t="shared" si="52"/>
        <v>0</v>
      </c>
      <c r="S213" s="85">
        <f t="shared" si="53"/>
        <v>0</v>
      </c>
      <c r="T213" s="79"/>
      <c r="U213" s="79"/>
      <c r="V213" s="79"/>
      <c r="W213" s="79"/>
      <c r="X213" s="79"/>
      <c r="Y213" s="82"/>
      <c r="Z213" s="79"/>
      <c r="AA213" s="79"/>
      <c r="AB213" s="79"/>
      <c r="AC213" s="79"/>
      <c r="AD213" s="79"/>
      <c r="AE213" s="79"/>
      <c r="AF213" s="79"/>
      <c r="AG213" s="79"/>
      <c r="AH213" s="79"/>
    </row>
    <row r="214" spans="1:34" x14ac:dyDescent="0.2">
      <c r="A214" s="74">
        <v>203</v>
      </c>
      <c r="B214" s="78"/>
      <c r="C214" s="78"/>
      <c r="D214" s="78"/>
      <c r="E214" s="76"/>
      <c r="F214" s="77"/>
      <c r="G214" s="79"/>
      <c r="H214" s="84">
        <f t="shared" si="45"/>
        <v>0</v>
      </c>
      <c r="I214" s="84">
        <f t="shared" si="46"/>
        <v>0</v>
      </c>
      <c r="J214" s="79"/>
      <c r="K214" s="84">
        <f t="shared" si="47"/>
        <v>0</v>
      </c>
      <c r="L214" s="79"/>
      <c r="M214" s="84">
        <f t="shared" si="48"/>
        <v>0</v>
      </c>
      <c r="N214" s="79"/>
      <c r="O214" s="84">
        <f t="shared" si="49"/>
        <v>0</v>
      </c>
      <c r="P214" s="84">
        <f t="shared" si="50"/>
        <v>0</v>
      </c>
      <c r="Q214" s="84">
        <f t="shared" si="51"/>
        <v>0</v>
      </c>
      <c r="R214" s="85">
        <f t="shared" si="52"/>
        <v>0</v>
      </c>
      <c r="S214" s="85">
        <f t="shared" si="53"/>
        <v>0</v>
      </c>
      <c r="T214" s="79"/>
      <c r="U214" s="79"/>
      <c r="V214" s="79"/>
      <c r="W214" s="79"/>
      <c r="X214" s="79"/>
      <c r="Y214" s="82"/>
      <c r="Z214" s="79"/>
      <c r="AA214" s="79"/>
      <c r="AB214" s="79"/>
      <c r="AC214" s="79"/>
      <c r="AD214" s="79"/>
      <c r="AE214" s="79"/>
      <c r="AF214" s="79"/>
      <c r="AG214" s="79"/>
      <c r="AH214" s="79"/>
    </row>
    <row r="215" spans="1:34" x14ac:dyDescent="0.2">
      <c r="A215" s="74">
        <v>204</v>
      </c>
      <c r="B215" s="78"/>
      <c r="C215" s="78"/>
      <c r="D215" s="78"/>
      <c r="E215" s="76"/>
      <c r="F215" s="77"/>
      <c r="G215" s="79"/>
      <c r="H215" s="84">
        <f t="shared" si="45"/>
        <v>0</v>
      </c>
      <c r="I215" s="84">
        <f t="shared" si="46"/>
        <v>0</v>
      </c>
      <c r="J215" s="79"/>
      <c r="K215" s="84">
        <f t="shared" si="47"/>
        <v>0</v>
      </c>
      <c r="L215" s="79"/>
      <c r="M215" s="84">
        <f t="shared" si="48"/>
        <v>0</v>
      </c>
      <c r="N215" s="79"/>
      <c r="O215" s="84">
        <f t="shared" si="49"/>
        <v>0</v>
      </c>
      <c r="P215" s="84">
        <f t="shared" si="50"/>
        <v>0</v>
      </c>
      <c r="Q215" s="84">
        <f t="shared" si="51"/>
        <v>0</v>
      </c>
      <c r="R215" s="85">
        <f t="shared" si="52"/>
        <v>0</v>
      </c>
      <c r="S215" s="85">
        <f t="shared" si="53"/>
        <v>0</v>
      </c>
      <c r="T215" s="79"/>
      <c r="U215" s="79"/>
      <c r="V215" s="79"/>
      <c r="W215" s="79"/>
      <c r="X215" s="79"/>
      <c r="Y215" s="82"/>
      <c r="Z215" s="79"/>
      <c r="AA215" s="79"/>
      <c r="AB215" s="79"/>
      <c r="AC215" s="79"/>
      <c r="AD215" s="79"/>
      <c r="AE215" s="79"/>
      <c r="AF215" s="79"/>
      <c r="AG215" s="79"/>
      <c r="AH215" s="79"/>
    </row>
    <row r="216" spans="1:34" x14ac:dyDescent="0.2">
      <c r="A216" s="74">
        <v>205</v>
      </c>
      <c r="B216" s="78"/>
      <c r="C216" s="78"/>
      <c r="D216" s="78"/>
      <c r="E216" s="76"/>
      <c r="F216" s="77"/>
      <c r="G216" s="79"/>
      <c r="H216" s="84">
        <f t="shared" si="45"/>
        <v>0</v>
      </c>
      <c r="I216" s="84">
        <f t="shared" si="46"/>
        <v>0</v>
      </c>
      <c r="J216" s="79"/>
      <c r="K216" s="84">
        <f t="shared" si="47"/>
        <v>0</v>
      </c>
      <c r="L216" s="79"/>
      <c r="M216" s="84">
        <f t="shared" si="48"/>
        <v>0</v>
      </c>
      <c r="N216" s="79"/>
      <c r="O216" s="84">
        <f t="shared" si="49"/>
        <v>0</v>
      </c>
      <c r="P216" s="84">
        <f t="shared" si="50"/>
        <v>0</v>
      </c>
      <c r="Q216" s="84">
        <f t="shared" si="51"/>
        <v>0</v>
      </c>
      <c r="R216" s="85">
        <f t="shared" si="52"/>
        <v>0</v>
      </c>
      <c r="S216" s="85">
        <f t="shared" si="53"/>
        <v>0</v>
      </c>
      <c r="T216" s="79"/>
      <c r="U216" s="79"/>
      <c r="V216" s="79"/>
      <c r="W216" s="79"/>
      <c r="X216" s="79"/>
      <c r="Y216" s="82"/>
      <c r="Z216" s="79"/>
      <c r="AA216" s="79"/>
      <c r="AB216" s="79"/>
      <c r="AC216" s="79"/>
      <c r="AD216" s="79"/>
      <c r="AE216" s="79"/>
      <c r="AF216" s="79"/>
      <c r="AG216" s="79"/>
      <c r="AH216" s="79"/>
    </row>
    <row r="217" spans="1:34" x14ac:dyDescent="0.2">
      <c r="A217" s="74">
        <v>206</v>
      </c>
      <c r="B217" s="78"/>
      <c r="C217" s="78"/>
      <c r="D217" s="78"/>
      <c r="E217" s="76"/>
      <c r="F217" s="77"/>
      <c r="G217" s="79"/>
      <c r="H217" s="84">
        <f t="shared" si="45"/>
        <v>0</v>
      </c>
      <c r="I217" s="84">
        <f t="shared" si="46"/>
        <v>0</v>
      </c>
      <c r="J217" s="79"/>
      <c r="K217" s="84">
        <f t="shared" si="47"/>
        <v>0</v>
      </c>
      <c r="L217" s="79"/>
      <c r="M217" s="84">
        <f t="shared" si="48"/>
        <v>0</v>
      </c>
      <c r="N217" s="79"/>
      <c r="O217" s="84">
        <f t="shared" si="49"/>
        <v>0</v>
      </c>
      <c r="P217" s="84">
        <f t="shared" si="50"/>
        <v>0</v>
      </c>
      <c r="Q217" s="84">
        <f t="shared" si="51"/>
        <v>0</v>
      </c>
      <c r="R217" s="85">
        <f t="shared" si="52"/>
        <v>0</v>
      </c>
      <c r="S217" s="85">
        <f t="shared" si="53"/>
        <v>0</v>
      </c>
      <c r="T217" s="79"/>
      <c r="U217" s="79"/>
      <c r="V217" s="79"/>
      <c r="W217" s="79"/>
      <c r="X217" s="79"/>
      <c r="Y217" s="82"/>
      <c r="Z217" s="79"/>
      <c r="AA217" s="79"/>
      <c r="AB217" s="79"/>
      <c r="AC217" s="79"/>
      <c r="AD217" s="79"/>
      <c r="AE217" s="79"/>
      <c r="AF217" s="79"/>
      <c r="AG217" s="79"/>
      <c r="AH217" s="79"/>
    </row>
    <row r="218" spans="1:34" x14ac:dyDescent="0.2">
      <c r="A218" s="74">
        <v>207</v>
      </c>
      <c r="B218" s="78"/>
      <c r="C218" s="78"/>
      <c r="D218" s="78"/>
      <c r="E218" s="76"/>
      <c r="F218" s="77"/>
      <c r="G218" s="79"/>
      <c r="H218" s="84">
        <f t="shared" si="45"/>
        <v>0</v>
      </c>
      <c r="I218" s="84">
        <f t="shared" si="46"/>
        <v>0</v>
      </c>
      <c r="J218" s="79"/>
      <c r="K218" s="84">
        <f t="shared" si="47"/>
        <v>0</v>
      </c>
      <c r="L218" s="79"/>
      <c r="M218" s="84">
        <f t="shared" si="48"/>
        <v>0</v>
      </c>
      <c r="N218" s="79"/>
      <c r="O218" s="84">
        <f t="shared" si="49"/>
        <v>0</v>
      </c>
      <c r="P218" s="84">
        <f t="shared" si="50"/>
        <v>0</v>
      </c>
      <c r="Q218" s="84">
        <f t="shared" si="51"/>
        <v>0</v>
      </c>
      <c r="R218" s="85">
        <f t="shared" si="52"/>
        <v>0</v>
      </c>
      <c r="S218" s="85">
        <f t="shared" si="53"/>
        <v>0</v>
      </c>
      <c r="T218" s="79"/>
      <c r="U218" s="79"/>
      <c r="V218" s="79"/>
      <c r="W218" s="79"/>
      <c r="X218" s="79"/>
      <c r="Y218" s="82"/>
      <c r="Z218" s="79"/>
      <c r="AA218" s="79"/>
      <c r="AB218" s="79"/>
      <c r="AC218" s="79"/>
      <c r="AD218" s="79"/>
      <c r="AE218" s="79"/>
      <c r="AF218" s="79"/>
      <c r="AG218" s="79"/>
      <c r="AH218" s="79"/>
    </row>
    <row r="219" spans="1:34" x14ac:dyDescent="0.2">
      <c r="A219" s="74">
        <v>208</v>
      </c>
      <c r="B219" s="78"/>
      <c r="C219" s="78"/>
      <c r="D219" s="78"/>
      <c r="E219" s="76"/>
      <c r="F219" s="77"/>
      <c r="G219" s="83"/>
      <c r="H219" s="84">
        <f t="shared" si="45"/>
        <v>0</v>
      </c>
      <c r="I219" s="84">
        <f t="shared" si="46"/>
        <v>0</v>
      </c>
      <c r="J219" s="79"/>
      <c r="K219" s="84">
        <f t="shared" si="47"/>
        <v>0</v>
      </c>
      <c r="L219" s="79"/>
      <c r="M219" s="84">
        <f t="shared" si="48"/>
        <v>0</v>
      </c>
      <c r="N219" s="79"/>
      <c r="O219" s="84">
        <f t="shared" si="49"/>
        <v>0</v>
      </c>
      <c r="P219" s="84">
        <f t="shared" si="50"/>
        <v>0</v>
      </c>
      <c r="Q219" s="84">
        <f t="shared" si="51"/>
        <v>0</v>
      </c>
      <c r="R219" s="85">
        <f t="shared" si="52"/>
        <v>0</v>
      </c>
      <c r="S219" s="85">
        <f t="shared" si="53"/>
        <v>0</v>
      </c>
      <c r="T219" s="79"/>
      <c r="U219" s="79"/>
      <c r="V219" s="79"/>
      <c r="W219" s="79"/>
      <c r="X219" s="79"/>
      <c r="Y219" s="82"/>
      <c r="Z219" s="79"/>
      <c r="AA219" s="79"/>
      <c r="AB219" s="79"/>
      <c r="AC219" s="79"/>
      <c r="AD219" s="79"/>
      <c r="AE219" s="79"/>
      <c r="AF219" s="79"/>
      <c r="AG219" s="79"/>
      <c r="AH219" s="79"/>
    </row>
    <row r="220" spans="1:34" x14ac:dyDescent="0.2">
      <c r="A220" s="74">
        <v>209</v>
      </c>
      <c r="B220" s="78"/>
      <c r="C220" s="78"/>
      <c r="D220" s="78"/>
      <c r="E220" s="76"/>
      <c r="F220" s="77"/>
      <c r="G220" s="79"/>
      <c r="H220" s="84">
        <f t="shared" si="45"/>
        <v>0</v>
      </c>
      <c r="I220" s="84">
        <f t="shared" si="46"/>
        <v>0</v>
      </c>
      <c r="J220" s="79"/>
      <c r="K220" s="84">
        <f t="shared" si="47"/>
        <v>0</v>
      </c>
      <c r="L220" s="79"/>
      <c r="M220" s="84">
        <f t="shared" si="48"/>
        <v>0</v>
      </c>
      <c r="N220" s="79"/>
      <c r="O220" s="84">
        <f t="shared" si="49"/>
        <v>0</v>
      </c>
      <c r="P220" s="84">
        <f t="shared" si="50"/>
        <v>0</v>
      </c>
      <c r="Q220" s="84">
        <f t="shared" si="51"/>
        <v>0</v>
      </c>
      <c r="R220" s="85">
        <f t="shared" si="52"/>
        <v>0</v>
      </c>
      <c r="S220" s="85">
        <f t="shared" si="53"/>
        <v>0</v>
      </c>
      <c r="T220" s="79"/>
      <c r="U220" s="79"/>
      <c r="V220" s="79"/>
      <c r="W220" s="79"/>
      <c r="X220" s="79"/>
      <c r="Y220" s="82"/>
      <c r="Z220" s="79"/>
      <c r="AA220" s="79"/>
      <c r="AB220" s="79"/>
      <c r="AC220" s="79"/>
      <c r="AD220" s="79"/>
      <c r="AE220" s="79"/>
      <c r="AF220" s="79"/>
      <c r="AG220" s="79"/>
      <c r="AH220" s="79"/>
    </row>
    <row r="221" spans="1:34" x14ac:dyDescent="0.2">
      <c r="A221" s="74">
        <v>210</v>
      </c>
      <c r="B221" s="78"/>
      <c r="C221" s="78"/>
      <c r="D221" s="78"/>
      <c r="E221" s="76"/>
      <c r="F221" s="77"/>
      <c r="G221" s="79"/>
      <c r="H221" s="84">
        <f t="shared" si="45"/>
        <v>0</v>
      </c>
      <c r="I221" s="84">
        <f t="shared" si="46"/>
        <v>0</v>
      </c>
      <c r="J221" s="79"/>
      <c r="K221" s="84">
        <f t="shared" si="47"/>
        <v>0</v>
      </c>
      <c r="L221" s="79"/>
      <c r="M221" s="84">
        <f t="shared" si="48"/>
        <v>0</v>
      </c>
      <c r="N221" s="79"/>
      <c r="O221" s="84">
        <f t="shared" si="49"/>
        <v>0</v>
      </c>
      <c r="P221" s="84">
        <f t="shared" si="50"/>
        <v>0</v>
      </c>
      <c r="Q221" s="84">
        <f t="shared" si="51"/>
        <v>0</v>
      </c>
      <c r="R221" s="85">
        <f t="shared" si="52"/>
        <v>0</v>
      </c>
      <c r="S221" s="85">
        <f t="shared" si="53"/>
        <v>0</v>
      </c>
      <c r="T221" s="79"/>
      <c r="U221" s="79"/>
      <c r="V221" s="79"/>
      <c r="W221" s="79"/>
      <c r="X221" s="79"/>
      <c r="Y221" s="82"/>
      <c r="Z221" s="79"/>
      <c r="AA221" s="79"/>
      <c r="AB221" s="79"/>
      <c r="AC221" s="79"/>
      <c r="AD221" s="79"/>
      <c r="AE221" s="79"/>
      <c r="AF221" s="79"/>
      <c r="AG221" s="79"/>
      <c r="AH221" s="79"/>
    </row>
    <row r="222" spans="1:34" x14ac:dyDescent="0.2">
      <c r="A222" s="74">
        <v>211</v>
      </c>
      <c r="B222" s="78"/>
      <c r="C222" s="78"/>
      <c r="D222" s="78"/>
      <c r="E222" s="76"/>
      <c r="F222" s="77"/>
      <c r="G222" s="79"/>
      <c r="H222" s="84">
        <f t="shared" si="45"/>
        <v>0</v>
      </c>
      <c r="I222" s="84">
        <f t="shared" si="46"/>
        <v>0</v>
      </c>
      <c r="J222" s="79"/>
      <c r="K222" s="84">
        <f t="shared" si="47"/>
        <v>0</v>
      </c>
      <c r="L222" s="79"/>
      <c r="M222" s="84">
        <f t="shared" si="48"/>
        <v>0</v>
      </c>
      <c r="N222" s="79"/>
      <c r="O222" s="84">
        <f t="shared" si="49"/>
        <v>0</v>
      </c>
      <c r="P222" s="84">
        <f t="shared" si="50"/>
        <v>0</v>
      </c>
      <c r="Q222" s="84">
        <f t="shared" si="51"/>
        <v>0</v>
      </c>
      <c r="R222" s="85">
        <f t="shared" si="52"/>
        <v>0</v>
      </c>
      <c r="S222" s="85">
        <f t="shared" si="53"/>
        <v>0</v>
      </c>
      <c r="T222" s="79"/>
      <c r="U222" s="79"/>
      <c r="V222" s="79"/>
      <c r="W222" s="79"/>
      <c r="X222" s="79"/>
      <c r="Y222" s="82"/>
      <c r="Z222" s="79"/>
      <c r="AA222" s="79"/>
      <c r="AB222" s="79"/>
      <c r="AC222" s="79"/>
      <c r="AD222" s="79"/>
      <c r="AE222" s="79"/>
      <c r="AF222" s="79"/>
      <c r="AG222" s="79"/>
      <c r="AH222" s="79"/>
    </row>
    <row r="223" spans="1:34" x14ac:dyDescent="0.2">
      <c r="A223" s="74">
        <v>212</v>
      </c>
      <c r="B223" s="78"/>
      <c r="C223" s="78"/>
      <c r="D223" s="78"/>
      <c r="E223" s="76"/>
      <c r="F223" s="77"/>
      <c r="G223" s="79"/>
      <c r="H223" s="84">
        <f t="shared" si="45"/>
        <v>0</v>
      </c>
      <c r="I223" s="84">
        <f t="shared" si="46"/>
        <v>0</v>
      </c>
      <c r="J223" s="79"/>
      <c r="K223" s="84">
        <f t="shared" si="47"/>
        <v>0</v>
      </c>
      <c r="L223" s="79"/>
      <c r="M223" s="84">
        <f t="shared" si="48"/>
        <v>0</v>
      </c>
      <c r="N223" s="79"/>
      <c r="O223" s="84">
        <f t="shared" si="49"/>
        <v>0</v>
      </c>
      <c r="P223" s="84">
        <f t="shared" si="50"/>
        <v>0</v>
      </c>
      <c r="Q223" s="84">
        <f t="shared" si="51"/>
        <v>0</v>
      </c>
      <c r="R223" s="85">
        <f t="shared" si="52"/>
        <v>0</v>
      </c>
      <c r="S223" s="85">
        <f t="shared" si="53"/>
        <v>0</v>
      </c>
      <c r="T223" s="79"/>
      <c r="U223" s="79"/>
      <c r="V223" s="79"/>
      <c r="W223" s="79"/>
      <c r="X223" s="79"/>
      <c r="Y223" s="82"/>
      <c r="Z223" s="79"/>
      <c r="AA223" s="79"/>
      <c r="AB223" s="79"/>
      <c r="AC223" s="79"/>
      <c r="AD223" s="79"/>
      <c r="AE223" s="79"/>
      <c r="AF223" s="79"/>
      <c r="AG223" s="79"/>
      <c r="AH223" s="79"/>
    </row>
    <row r="224" spans="1:34" x14ac:dyDescent="0.2">
      <c r="A224" s="74">
        <v>213</v>
      </c>
      <c r="B224" s="78"/>
      <c r="C224" s="78"/>
      <c r="D224" s="78"/>
      <c r="E224" s="76"/>
      <c r="F224" s="77"/>
      <c r="G224" s="79"/>
      <c r="H224" s="84">
        <f t="shared" si="45"/>
        <v>0</v>
      </c>
      <c r="I224" s="84">
        <f t="shared" si="46"/>
        <v>0</v>
      </c>
      <c r="J224" s="79"/>
      <c r="K224" s="84">
        <f t="shared" si="47"/>
        <v>0</v>
      </c>
      <c r="L224" s="79"/>
      <c r="M224" s="84">
        <f t="shared" si="48"/>
        <v>0</v>
      </c>
      <c r="N224" s="79"/>
      <c r="O224" s="84">
        <f t="shared" si="49"/>
        <v>0</v>
      </c>
      <c r="P224" s="84">
        <f t="shared" si="50"/>
        <v>0</v>
      </c>
      <c r="Q224" s="84">
        <f t="shared" si="51"/>
        <v>0</v>
      </c>
      <c r="R224" s="85">
        <f t="shared" si="52"/>
        <v>0</v>
      </c>
      <c r="S224" s="85">
        <f t="shared" si="53"/>
        <v>0</v>
      </c>
      <c r="T224" s="79"/>
      <c r="U224" s="79"/>
      <c r="V224" s="79"/>
      <c r="W224" s="79"/>
      <c r="X224" s="79"/>
      <c r="Y224" s="82"/>
      <c r="Z224" s="79"/>
      <c r="AA224" s="79"/>
      <c r="AB224" s="79"/>
      <c r="AC224" s="79"/>
      <c r="AD224" s="79"/>
      <c r="AE224" s="79"/>
      <c r="AF224" s="79"/>
      <c r="AG224" s="79"/>
      <c r="AH224" s="79"/>
    </row>
    <row r="225" spans="1:34" x14ac:dyDescent="0.2">
      <c r="A225" s="74">
        <v>214</v>
      </c>
      <c r="B225" s="78"/>
      <c r="C225" s="78"/>
      <c r="D225" s="78"/>
      <c r="E225" s="76"/>
      <c r="F225" s="77"/>
      <c r="G225" s="79"/>
      <c r="H225" s="84">
        <f t="shared" si="45"/>
        <v>0</v>
      </c>
      <c r="I225" s="84">
        <f t="shared" si="46"/>
        <v>0</v>
      </c>
      <c r="J225" s="79"/>
      <c r="K225" s="84">
        <f t="shared" si="47"/>
        <v>0</v>
      </c>
      <c r="L225" s="79"/>
      <c r="M225" s="84">
        <f t="shared" si="48"/>
        <v>0</v>
      </c>
      <c r="N225" s="79"/>
      <c r="O225" s="84">
        <f t="shared" si="49"/>
        <v>0</v>
      </c>
      <c r="P225" s="84">
        <f t="shared" si="50"/>
        <v>0</v>
      </c>
      <c r="Q225" s="84">
        <f t="shared" si="51"/>
        <v>0</v>
      </c>
      <c r="R225" s="85">
        <f t="shared" si="52"/>
        <v>0</v>
      </c>
      <c r="S225" s="85">
        <f t="shared" si="53"/>
        <v>0</v>
      </c>
      <c r="T225" s="79"/>
      <c r="U225" s="79"/>
      <c r="V225" s="79"/>
      <c r="W225" s="79"/>
      <c r="X225" s="79"/>
      <c r="Y225" s="82"/>
      <c r="Z225" s="79"/>
      <c r="AA225" s="79"/>
      <c r="AB225" s="79"/>
      <c r="AC225" s="79"/>
      <c r="AD225" s="79"/>
      <c r="AE225" s="79"/>
      <c r="AF225" s="79"/>
      <c r="AG225" s="79"/>
      <c r="AH225" s="79"/>
    </row>
    <row r="226" spans="1:34" x14ac:dyDescent="0.2">
      <c r="A226" s="74">
        <v>215</v>
      </c>
      <c r="B226" s="78"/>
      <c r="C226" s="78"/>
      <c r="D226" s="78"/>
      <c r="E226" s="76"/>
      <c r="F226" s="77"/>
      <c r="G226" s="79"/>
      <c r="H226" s="84">
        <f t="shared" si="45"/>
        <v>0</v>
      </c>
      <c r="I226" s="84">
        <f t="shared" si="46"/>
        <v>0</v>
      </c>
      <c r="J226" s="79"/>
      <c r="K226" s="84">
        <f t="shared" si="47"/>
        <v>0</v>
      </c>
      <c r="L226" s="79"/>
      <c r="M226" s="84">
        <f t="shared" si="48"/>
        <v>0</v>
      </c>
      <c r="N226" s="79"/>
      <c r="O226" s="84">
        <f t="shared" si="49"/>
        <v>0</v>
      </c>
      <c r="P226" s="84">
        <f t="shared" si="50"/>
        <v>0</v>
      </c>
      <c r="Q226" s="84">
        <f t="shared" si="51"/>
        <v>0</v>
      </c>
      <c r="R226" s="85">
        <f t="shared" si="52"/>
        <v>0</v>
      </c>
      <c r="S226" s="85">
        <f t="shared" si="53"/>
        <v>0</v>
      </c>
      <c r="T226" s="79"/>
      <c r="U226" s="79"/>
      <c r="V226" s="79"/>
      <c r="W226" s="79"/>
      <c r="X226" s="79"/>
      <c r="Y226" s="82"/>
      <c r="Z226" s="79"/>
      <c r="AA226" s="79"/>
      <c r="AB226" s="79"/>
      <c r="AC226" s="79"/>
      <c r="AD226" s="79"/>
      <c r="AE226" s="79"/>
      <c r="AF226" s="79"/>
      <c r="AG226" s="79"/>
      <c r="AH226" s="79"/>
    </row>
    <row r="227" spans="1:34" x14ac:dyDescent="0.2">
      <c r="A227" s="74">
        <v>216</v>
      </c>
      <c r="B227" s="78"/>
      <c r="C227" s="78"/>
      <c r="D227" s="78"/>
      <c r="E227" s="76"/>
      <c r="F227" s="77"/>
      <c r="G227" s="79"/>
      <c r="H227" s="84">
        <f t="shared" si="45"/>
        <v>0</v>
      </c>
      <c r="I227" s="84">
        <f t="shared" si="46"/>
        <v>0</v>
      </c>
      <c r="J227" s="79"/>
      <c r="K227" s="84">
        <f t="shared" si="47"/>
        <v>0</v>
      </c>
      <c r="L227" s="79"/>
      <c r="M227" s="84">
        <f t="shared" si="48"/>
        <v>0</v>
      </c>
      <c r="N227" s="79"/>
      <c r="O227" s="84">
        <f t="shared" si="49"/>
        <v>0</v>
      </c>
      <c r="P227" s="84">
        <f t="shared" si="50"/>
        <v>0</v>
      </c>
      <c r="Q227" s="84">
        <f t="shared" si="51"/>
        <v>0</v>
      </c>
      <c r="R227" s="85">
        <f t="shared" si="52"/>
        <v>0</v>
      </c>
      <c r="S227" s="85">
        <f t="shared" si="53"/>
        <v>0</v>
      </c>
      <c r="T227" s="79"/>
      <c r="U227" s="79"/>
      <c r="V227" s="79"/>
      <c r="W227" s="79"/>
      <c r="X227" s="79"/>
      <c r="Y227" s="82"/>
      <c r="Z227" s="79"/>
      <c r="AA227" s="79"/>
      <c r="AB227" s="79"/>
      <c r="AC227" s="79"/>
      <c r="AD227" s="79"/>
      <c r="AE227" s="79"/>
      <c r="AF227" s="79"/>
      <c r="AG227" s="79"/>
      <c r="AH227" s="79"/>
    </row>
    <row r="228" spans="1:34" x14ac:dyDescent="0.2">
      <c r="A228" s="74">
        <v>217</v>
      </c>
      <c r="B228" s="78"/>
      <c r="C228" s="78"/>
      <c r="D228" s="78"/>
      <c r="E228" s="76"/>
      <c r="F228" s="77"/>
      <c r="G228" s="83"/>
      <c r="H228" s="84">
        <f t="shared" si="45"/>
        <v>0</v>
      </c>
      <c r="I228" s="84">
        <f t="shared" si="46"/>
        <v>0</v>
      </c>
      <c r="J228" s="79"/>
      <c r="K228" s="84">
        <f t="shared" si="47"/>
        <v>0</v>
      </c>
      <c r="L228" s="79"/>
      <c r="M228" s="84">
        <f t="shared" si="48"/>
        <v>0</v>
      </c>
      <c r="N228" s="79"/>
      <c r="O228" s="84">
        <f t="shared" si="49"/>
        <v>0</v>
      </c>
      <c r="P228" s="84">
        <f t="shared" si="50"/>
        <v>0</v>
      </c>
      <c r="Q228" s="84">
        <f t="shared" si="51"/>
        <v>0</v>
      </c>
      <c r="R228" s="85">
        <f t="shared" si="52"/>
        <v>0</v>
      </c>
      <c r="S228" s="85">
        <f t="shared" si="53"/>
        <v>0</v>
      </c>
      <c r="T228" s="79"/>
      <c r="U228" s="79"/>
      <c r="V228" s="79"/>
      <c r="W228" s="79"/>
      <c r="X228" s="79"/>
      <c r="Y228" s="82"/>
      <c r="Z228" s="79"/>
      <c r="AA228" s="79"/>
      <c r="AB228" s="79"/>
      <c r="AC228" s="79"/>
      <c r="AD228" s="79"/>
      <c r="AE228" s="79"/>
      <c r="AF228" s="79"/>
      <c r="AG228" s="79"/>
      <c r="AH228" s="79"/>
    </row>
    <row r="229" spans="1:34" x14ac:dyDescent="0.2">
      <c r="A229" s="74">
        <v>218</v>
      </c>
      <c r="B229" s="78"/>
      <c r="C229" s="78"/>
      <c r="D229" s="78"/>
      <c r="E229" s="76"/>
      <c r="F229" s="77"/>
      <c r="G229" s="79"/>
      <c r="H229" s="84">
        <f t="shared" si="45"/>
        <v>0</v>
      </c>
      <c r="I229" s="84">
        <f t="shared" si="46"/>
        <v>0</v>
      </c>
      <c r="J229" s="79"/>
      <c r="K229" s="84">
        <f t="shared" si="47"/>
        <v>0</v>
      </c>
      <c r="L229" s="79"/>
      <c r="M229" s="84">
        <f t="shared" si="48"/>
        <v>0</v>
      </c>
      <c r="N229" s="79"/>
      <c r="O229" s="84">
        <f t="shared" si="49"/>
        <v>0</v>
      </c>
      <c r="P229" s="84">
        <f t="shared" si="50"/>
        <v>0</v>
      </c>
      <c r="Q229" s="84">
        <f t="shared" si="51"/>
        <v>0</v>
      </c>
      <c r="R229" s="85">
        <f t="shared" si="52"/>
        <v>0</v>
      </c>
      <c r="S229" s="85">
        <f t="shared" si="53"/>
        <v>0</v>
      </c>
      <c r="T229" s="79"/>
      <c r="U229" s="79"/>
      <c r="V229" s="79"/>
      <c r="W229" s="79"/>
      <c r="X229" s="79"/>
      <c r="Y229" s="82"/>
      <c r="Z229" s="79"/>
      <c r="AA229" s="79"/>
      <c r="AB229" s="79"/>
      <c r="AC229" s="79"/>
      <c r="AD229" s="79"/>
      <c r="AE229" s="79"/>
      <c r="AF229" s="79"/>
      <c r="AG229" s="79"/>
      <c r="AH229" s="79"/>
    </row>
    <row r="230" spans="1:34" x14ac:dyDescent="0.2">
      <c r="A230" s="74">
        <v>219</v>
      </c>
      <c r="B230" s="78"/>
      <c r="C230" s="78"/>
      <c r="D230" s="78"/>
      <c r="E230" s="76"/>
      <c r="F230" s="77"/>
      <c r="G230" s="79"/>
      <c r="H230" s="84">
        <f t="shared" si="45"/>
        <v>0</v>
      </c>
      <c r="I230" s="84">
        <f t="shared" si="46"/>
        <v>0</v>
      </c>
      <c r="J230" s="79"/>
      <c r="K230" s="84">
        <f t="shared" si="47"/>
        <v>0</v>
      </c>
      <c r="L230" s="79"/>
      <c r="M230" s="84">
        <f t="shared" si="48"/>
        <v>0</v>
      </c>
      <c r="N230" s="79"/>
      <c r="O230" s="84">
        <f t="shared" si="49"/>
        <v>0</v>
      </c>
      <c r="P230" s="84">
        <f t="shared" si="50"/>
        <v>0</v>
      </c>
      <c r="Q230" s="84">
        <f t="shared" si="51"/>
        <v>0</v>
      </c>
      <c r="R230" s="85">
        <f t="shared" si="52"/>
        <v>0</v>
      </c>
      <c r="S230" s="85">
        <f t="shared" si="53"/>
        <v>0</v>
      </c>
      <c r="T230" s="79"/>
      <c r="U230" s="79"/>
      <c r="V230" s="79"/>
      <c r="W230" s="79"/>
      <c r="X230" s="79"/>
      <c r="Y230" s="82"/>
      <c r="Z230" s="79"/>
      <c r="AA230" s="79"/>
      <c r="AB230" s="79"/>
      <c r="AC230" s="79"/>
      <c r="AD230" s="79"/>
      <c r="AE230" s="79"/>
      <c r="AF230" s="79"/>
      <c r="AG230" s="79"/>
      <c r="AH230" s="79"/>
    </row>
    <row r="231" spans="1:34" x14ac:dyDescent="0.2">
      <c r="A231" s="74">
        <v>220</v>
      </c>
      <c r="B231" s="78"/>
      <c r="C231" s="78"/>
      <c r="D231" s="78"/>
      <c r="E231" s="76"/>
      <c r="F231" s="77"/>
      <c r="G231" s="79"/>
      <c r="H231" s="84">
        <f t="shared" si="45"/>
        <v>0</v>
      </c>
      <c r="I231" s="84">
        <f t="shared" si="46"/>
        <v>0</v>
      </c>
      <c r="J231" s="79"/>
      <c r="K231" s="84">
        <f t="shared" si="47"/>
        <v>0</v>
      </c>
      <c r="L231" s="79"/>
      <c r="M231" s="84">
        <f t="shared" si="48"/>
        <v>0</v>
      </c>
      <c r="N231" s="79"/>
      <c r="O231" s="84">
        <f t="shared" si="49"/>
        <v>0</v>
      </c>
      <c r="P231" s="84">
        <f t="shared" si="50"/>
        <v>0</v>
      </c>
      <c r="Q231" s="84">
        <f t="shared" si="51"/>
        <v>0</v>
      </c>
      <c r="R231" s="85">
        <f t="shared" si="52"/>
        <v>0</v>
      </c>
      <c r="S231" s="85">
        <f t="shared" si="53"/>
        <v>0</v>
      </c>
      <c r="T231" s="79"/>
      <c r="U231" s="79"/>
      <c r="V231" s="79"/>
      <c r="W231" s="79"/>
      <c r="X231" s="79"/>
      <c r="Y231" s="82"/>
      <c r="Z231" s="79"/>
      <c r="AA231" s="79"/>
      <c r="AB231" s="79"/>
      <c r="AC231" s="79"/>
      <c r="AD231" s="79"/>
      <c r="AE231" s="79"/>
      <c r="AF231" s="79"/>
      <c r="AG231" s="79"/>
      <c r="AH231" s="79"/>
    </row>
    <row r="232" spans="1:34" x14ac:dyDescent="0.2">
      <c r="A232" s="74">
        <v>221</v>
      </c>
      <c r="B232" s="78"/>
      <c r="C232" s="78"/>
      <c r="D232" s="78"/>
      <c r="E232" s="76"/>
      <c r="F232" s="77"/>
      <c r="G232" s="79"/>
      <c r="H232" s="84">
        <f t="shared" si="45"/>
        <v>0</v>
      </c>
      <c r="I232" s="84">
        <f t="shared" si="46"/>
        <v>0</v>
      </c>
      <c r="J232" s="79"/>
      <c r="K232" s="84">
        <f t="shared" si="47"/>
        <v>0</v>
      </c>
      <c r="L232" s="79"/>
      <c r="M232" s="84">
        <f t="shared" si="48"/>
        <v>0</v>
      </c>
      <c r="N232" s="79"/>
      <c r="O232" s="84">
        <f t="shared" si="49"/>
        <v>0</v>
      </c>
      <c r="P232" s="84">
        <f t="shared" si="50"/>
        <v>0</v>
      </c>
      <c r="Q232" s="84">
        <f t="shared" si="51"/>
        <v>0</v>
      </c>
      <c r="R232" s="85">
        <f t="shared" si="52"/>
        <v>0</v>
      </c>
      <c r="S232" s="85">
        <f t="shared" si="53"/>
        <v>0</v>
      </c>
      <c r="T232" s="79"/>
      <c r="U232" s="79"/>
      <c r="V232" s="79"/>
      <c r="W232" s="79"/>
      <c r="X232" s="79"/>
      <c r="Y232" s="82"/>
      <c r="Z232" s="79"/>
      <c r="AA232" s="79"/>
      <c r="AB232" s="79"/>
      <c r="AC232" s="79"/>
      <c r="AD232" s="79"/>
      <c r="AE232" s="79"/>
      <c r="AF232" s="79"/>
      <c r="AG232" s="79"/>
      <c r="AH232" s="79"/>
    </row>
    <row r="233" spans="1:34" x14ac:dyDescent="0.2">
      <c r="A233" s="74">
        <v>222</v>
      </c>
      <c r="B233" s="78"/>
      <c r="C233" s="78"/>
      <c r="D233" s="78"/>
      <c r="E233" s="76"/>
      <c r="F233" s="77"/>
      <c r="G233" s="79"/>
      <c r="H233" s="84">
        <f t="shared" si="45"/>
        <v>0</v>
      </c>
      <c r="I233" s="84">
        <f t="shared" si="46"/>
        <v>0</v>
      </c>
      <c r="J233" s="79"/>
      <c r="K233" s="84">
        <f t="shared" si="47"/>
        <v>0</v>
      </c>
      <c r="L233" s="79"/>
      <c r="M233" s="84">
        <f t="shared" si="48"/>
        <v>0</v>
      </c>
      <c r="N233" s="79"/>
      <c r="O233" s="84">
        <f t="shared" si="49"/>
        <v>0</v>
      </c>
      <c r="P233" s="84">
        <f t="shared" si="50"/>
        <v>0</v>
      </c>
      <c r="Q233" s="84">
        <f t="shared" si="51"/>
        <v>0</v>
      </c>
      <c r="R233" s="85">
        <f t="shared" si="52"/>
        <v>0</v>
      </c>
      <c r="S233" s="85">
        <f t="shared" si="53"/>
        <v>0</v>
      </c>
      <c r="T233" s="79"/>
      <c r="U233" s="79"/>
      <c r="V233" s="79"/>
      <c r="W233" s="79"/>
      <c r="X233" s="79"/>
      <c r="Y233" s="82"/>
      <c r="Z233" s="79"/>
      <c r="AA233" s="79"/>
      <c r="AB233" s="79"/>
      <c r="AC233" s="79"/>
      <c r="AD233" s="79"/>
      <c r="AE233" s="79"/>
      <c r="AF233" s="79"/>
      <c r="AG233" s="79"/>
      <c r="AH233" s="79"/>
    </row>
    <row r="234" spans="1:34" x14ac:dyDescent="0.2">
      <c r="A234" s="74">
        <v>223</v>
      </c>
      <c r="B234" s="78"/>
      <c r="C234" s="78"/>
      <c r="D234" s="78"/>
      <c r="E234" s="76"/>
      <c r="F234" s="77"/>
      <c r="G234" s="79"/>
      <c r="H234" s="84">
        <f t="shared" si="45"/>
        <v>0</v>
      </c>
      <c r="I234" s="84">
        <f t="shared" si="46"/>
        <v>0</v>
      </c>
      <c r="J234" s="79"/>
      <c r="K234" s="84">
        <f t="shared" si="47"/>
        <v>0</v>
      </c>
      <c r="L234" s="79"/>
      <c r="M234" s="84">
        <f t="shared" si="48"/>
        <v>0</v>
      </c>
      <c r="N234" s="79"/>
      <c r="O234" s="84">
        <f t="shared" si="49"/>
        <v>0</v>
      </c>
      <c r="P234" s="84">
        <f t="shared" si="50"/>
        <v>0</v>
      </c>
      <c r="Q234" s="84">
        <f t="shared" si="51"/>
        <v>0</v>
      </c>
      <c r="R234" s="85">
        <f t="shared" si="52"/>
        <v>0</v>
      </c>
      <c r="S234" s="85">
        <f t="shared" si="53"/>
        <v>0</v>
      </c>
      <c r="T234" s="79"/>
      <c r="U234" s="79"/>
      <c r="V234" s="79"/>
      <c r="W234" s="79"/>
      <c r="X234" s="79"/>
      <c r="Y234" s="82"/>
      <c r="Z234" s="79"/>
      <c r="AA234" s="79"/>
      <c r="AB234" s="79"/>
      <c r="AC234" s="79"/>
      <c r="AD234" s="79"/>
      <c r="AE234" s="79"/>
      <c r="AF234" s="79"/>
      <c r="AG234" s="79"/>
      <c r="AH234" s="79"/>
    </row>
    <row r="235" spans="1:34" x14ac:dyDescent="0.2">
      <c r="A235" s="74">
        <v>224</v>
      </c>
      <c r="B235" s="78"/>
      <c r="C235" s="78"/>
      <c r="D235" s="78"/>
      <c r="E235" s="76"/>
      <c r="F235" s="77"/>
      <c r="G235" s="79"/>
      <c r="H235" s="84">
        <f t="shared" si="45"/>
        <v>0</v>
      </c>
      <c r="I235" s="84">
        <f t="shared" si="46"/>
        <v>0</v>
      </c>
      <c r="J235" s="79"/>
      <c r="K235" s="84">
        <f t="shared" si="47"/>
        <v>0</v>
      </c>
      <c r="L235" s="79"/>
      <c r="M235" s="84">
        <f t="shared" si="48"/>
        <v>0</v>
      </c>
      <c r="N235" s="79"/>
      <c r="O235" s="84">
        <f t="shared" si="49"/>
        <v>0</v>
      </c>
      <c r="P235" s="84">
        <f t="shared" si="50"/>
        <v>0</v>
      </c>
      <c r="Q235" s="84">
        <f t="shared" si="51"/>
        <v>0</v>
      </c>
      <c r="R235" s="85">
        <f t="shared" si="52"/>
        <v>0</v>
      </c>
      <c r="S235" s="85">
        <f t="shared" si="53"/>
        <v>0</v>
      </c>
      <c r="T235" s="79"/>
      <c r="U235" s="79"/>
      <c r="V235" s="79"/>
      <c r="W235" s="79"/>
      <c r="X235" s="79"/>
      <c r="Y235" s="82"/>
      <c r="Z235" s="79"/>
      <c r="AA235" s="79"/>
      <c r="AB235" s="79"/>
      <c r="AC235" s="79"/>
      <c r="AD235" s="79"/>
      <c r="AE235" s="79"/>
      <c r="AF235" s="79"/>
      <c r="AG235" s="79"/>
      <c r="AH235" s="79"/>
    </row>
    <row r="236" spans="1:34" x14ac:dyDescent="0.2">
      <c r="A236" s="74">
        <v>225</v>
      </c>
      <c r="B236" s="78"/>
      <c r="C236" s="78"/>
      <c r="D236" s="78"/>
      <c r="E236" s="76"/>
      <c r="F236" s="77"/>
      <c r="G236" s="79"/>
      <c r="H236" s="84">
        <f t="shared" si="45"/>
        <v>0</v>
      </c>
      <c r="I236" s="84">
        <f t="shared" si="46"/>
        <v>0</v>
      </c>
      <c r="J236" s="79"/>
      <c r="K236" s="84">
        <f t="shared" si="47"/>
        <v>0</v>
      </c>
      <c r="L236" s="79"/>
      <c r="M236" s="84">
        <f t="shared" si="48"/>
        <v>0</v>
      </c>
      <c r="N236" s="79"/>
      <c r="O236" s="84">
        <f t="shared" si="49"/>
        <v>0</v>
      </c>
      <c r="P236" s="84">
        <f t="shared" si="50"/>
        <v>0</v>
      </c>
      <c r="Q236" s="84">
        <f t="shared" si="51"/>
        <v>0</v>
      </c>
      <c r="R236" s="85">
        <f t="shared" si="52"/>
        <v>0</v>
      </c>
      <c r="S236" s="85">
        <f t="shared" si="53"/>
        <v>0</v>
      </c>
      <c r="T236" s="79"/>
      <c r="U236" s="79"/>
      <c r="V236" s="79"/>
      <c r="W236" s="79"/>
      <c r="X236" s="79"/>
      <c r="Y236" s="82"/>
      <c r="Z236" s="79"/>
      <c r="AA236" s="79"/>
      <c r="AB236" s="79"/>
      <c r="AC236" s="79"/>
      <c r="AD236" s="79"/>
      <c r="AE236" s="79"/>
      <c r="AF236" s="79"/>
      <c r="AG236" s="79"/>
      <c r="AH236" s="79"/>
    </row>
    <row r="237" spans="1:34" x14ac:dyDescent="0.2">
      <c r="A237" s="74">
        <v>226</v>
      </c>
      <c r="B237" s="78"/>
      <c r="C237" s="78"/>
      <c r="D237" s="78"/>
      <c r="E237" s="76"/>
      <c r="F237" s="77"/>
      <c r="G237" s="83"/>
      <c r="H237" s="84">
        <f t="shared" si="45"/>
        <v>0</v>
      </c>
      <c r="I237" s="84">
        <f t="shared" si="46"/>
        <v>0</v>
      </c>
      <c r="J237" s="79"/>
      <c r="K237" s="84">
        <f t="shared" si="47"/>
        <v>0</v>
      </c>
      <c r="L237" s="79"/>
      <c r="M237" s="84">
        <f t="shared" si="48"/>
        <v>0</v>
      </c>
      <c r="N237" s="79"/>
      <c r="O237" s="84">
        <f t="shared" si="49"/>
        <v>0</v>
      </c>
      <c r="P237" s="84">
        <f t="shared" si="50"/>
        <v>0</v>
      </c>
      <c r="Q237" s="84">
        <f t="shared" si="51"/>
        <v>0</v>
      </c>
      <c r="R237" s="85">
        <f t="shared" si="52"/>
        <v>0</v>
      </c>
      <c r="S237" s="85">
        <f t="shared" si="53"/>
        <v>0</v>
      </c>
      <c r="T237" s="79"/>
      <c r="U237" s="79"/>
      <c r="V237" s="79"/>
      <c r="W237" s="79"/>
      <c r="X237" s="79"/>
      <c r="Y237" s="82"/>
      <c r="Z237" s="79"/>
      <c r="AA237" s="79"/>
      <c r="AB237" s="79"/>
      <c r="AC237" s="79"/>
      <c r="AD237" s="79"/>
      <c r="AE237" s="79"/>
      <c r="AF237" s="79"/>
      <c r="AG237" s="79"/>
      <c r="AH237" s="79"/>
    </row>
    <row r="238" spans="1:34" x14ac:dyDescent="0.2">
      <c r="A238" s="74">
        <v>227</v>
      </c>
      <c r="B238" s="78"/>
      <c r="C238" s="78"/>
      <c r="D238" s="78"/>
      <c r="E238" s="76"/>
      <c r="F238" s="77"/>
      <c r="G238" s="79"/>
      <c r="H238" s="84">
        <f t="shared" si="45"/>
        <v>0</v>
      </c>
      <c r="I238" s="84">
        <f t="shared" si="46"/>
        <v>0</v>
      </c>
      <c r="J238" s="79"/>
      <c r="K238" s="84">
        <f t="shared" si="47"/>
        <v>0</v>
      </c>
      <c r="L238" s="79"/>
      <c r="M238" s="84">
        <f t="shared" si="48"/>
        <v>0</v>
      </c>
      <c r="N238" s="79"/>
      <c r="O238" s="84">
        <f t="shared" si="49"/>
        <v>0</v>
      </c>
      <c r="P238" s="84">
        <f t="shared" si="50"/>
        <v>0</v>
      </c>
      <c r="Q238" s="84">
        <f t="shared" si="51"/>
        <v>0</v>
      </c>
      <c r="R238" s="85">
        <f t="shared" si="52"/>
        <v>0</v>
      </c>
      <c r="S238" s="85">
        <f t="shared" si="53"/>
        <v>0</v>
      </c>
      <c r="T238" s="79"/>
      <c r="U238" s="79"/>
      <c r="V238" s="79"/>
      <c r="W238" s="79"/>
      <c r="X238" s="79"/>
      <c r="Y238" s="82"/>
      <c r="Z238" s="79"/>
      <c r="AA238" s="79"/>
      <c r="AB238" s="79"/>
      <c r="AC238" s="79"/>
      <c r="AD238" s="79"/>
      <c r="AE238" s="79"/>
      <c r="AF238" s="79"/>
      <c r="AG238" s="79"/>
      <c r="AH238" s="79"/>
    </row>
    <row r="239" spans="1:34" x14ac:dyDescent="0.2">
      <c r="A239" s="74">
        <v>228</v>
      </c>
      <c r="B239" s="78"/>
      <c r="C239" s="78"/>
      <c r="D239" s="78"/>
      <c r="E239" s="76"/>
      <c r="F239" s="77"/>
      <c r="G239" s="79"/>
      <c r="H239" s="84">
        <f t="shared" si="45"/>
        <v>0</v>
      </c>
      <c r="I239" s="84">
        <f t="shared" si="46"/>
        <v>0</v>
      </c>
      <c r="J239" s="79"/>
      <c r="K239" s="84">
        <f t="shared" si="47"/>
        <v>0</v>
      </c>
      <c r="L239" s="79"/>
      <c r="M239" s="84">
        <f t="shared" si="48"/>
        <v>0</v>
      </c>
      <c r="N239" s="79"/>
      <c r="O239" s="84">
        <f t="shared" si="49"/>
        <v>0</v>
      </c>
      <c r="P239" s="84">
        <f t="shared" si="50"/>
        <v>0</v>
      </c>
      <c r="Q239" s="84">
        <f t="shared" si="51"/>
        <v>0</v>
      </c>
      <c r="R239" s="85">
        <f t="shared" si="52"/>
        <v>0</v>
      </c>
      <c r="S239" s="85">
        <f t="shared" si="53"/>
        <v>0</v>
      </c>
      <c r="T239" s="79"/>
      <c r="U239" s="79"/>
      <c r="V239" s="79"/>
      <c r="W239" s="79"/>
      <c r="X239" s="79"/>
      <c r="Y239" s="82"/>
      <c r="Z239" s="79"/>
      <c r="AA239" s="79"/>
      <c r="AB239" s="79"/>
      <c r="AC239" s="79"/>
      <c r="AD239" s="79"/>
      <c r="AE239" s="79"/>
      <c r="AF239" s="79"/>
      <c r="AG239" s="79"/>
      <c r="AH239" s="79"/>
    </row>
    <row r="240" spans="1:34" x14ac:dyDescent="0.2">
      <c r="A240" s="74">
        <v>229</v>
      </c>
      <c r="B240" s="78"/>
      <c r="C240" s="78"/>
      <c r="D240" s="78"/>
      <c r="E240" s="76"/>
      <c r="F240" s="77"/>
      <c r="G240" s="79"/>
      <c r="H240" s="84">
        <f t="shared" si="45"/>
        <v>0</v>
      </c>
      <c r="I240" s="84">
        <f t="shared" si="46"/>
        <v>0</v>
      </c>
      <c r="J240" s="79"/>
      <c r="K240" s="84">
        <f t="shared" si="47"/>
        <v>0</v>
      </c>
      <c r="L240" s="79"/>
      <c r="M240" s="84">
        <f t="shared" si="48"/>
        <v>0</v>
      </c>
      <c r="N240" s="79"/>
      <c r="O240" s="84">
        <f t="shared" si="49"/>
        <v>0</v>
      </c>
      <c r="P240" s="84">
        <f t="shared" si="50"/>
        <v>0</v>
      </c>
      <c r="Q240" s="84">
        <f t="shared" si="51"/>
        <v>0</v>
      </c>
      <c r="R240" s="85">
        <f t="shared" si="52"/>
        <v>0</v>
      </c>
      <c r="S240" s="85">
        <f t="shared" si="53"/>
        <v>0</v>
      </c>
      <c r="T240" s="79"/>
      <c r="U240" s="79"/>
      <c r="V240" s="79"/>
      <c r="W240" s="79"/>
      <c r="X240" s="79"/>
      <c r="Y240" s="82"/>
      <c r="Z240" s="79"/>
      <c r="AA240" s="79"/>
      <c r="AB240" s="79"/>
      <c r="AC240" s="79"/>
      <c r="AD240" s="79"/>
      <c r="AE240" s="79"/>
      <c r="AF240" s="79"/>
      <c r="AG240" s="79"/>
      <c r="AH240" s="79"/>
    </row>
    <row r="241" spans="1:34" x14ac:dyDescent="0.2">
      <c r="A241" s="74">
        <v>230</v>
      </c>
      <c r="B241" s="78"/>
      <c r="C241" s="78"/>
      <c r="D241" s="78"/>
      <c r="E241" s="76"/>
      <c r="F241" s="77"/>
      <c r="G241" s="79"/>
      <c r="H241" s="84">
        <f t="shared" si="45"/>
        <v>0</v>
      </c>
      <c r="I241" s="84">
        <f t="shared" si="46"/>
        <v>0</v>
      </c>
      <c r="J241" s="79"/>
      <c r="K241" s="84">
        <f t="shared" si="47"/>
        <v>0</v>
      </c>
      <c r="L241" s="79"/>
      <c r="M241" s="84">
        <f t="shared" si="48"/>
        <v>0</v>
      </c>
      <c r="N241" s="79"/>
      <c r="O241" s="84">
        <f t="shared" si="49"/>
        <v>0</v>
      </c>
      <c r="P241" s="84">
        <f t="shared" si="50"/>
        <v>0</v>
      </c>
      <c r="Q241" s="84">
        <f t="shared" si="51"/>
        <v>0</v>
      </c>
      <c r="R241" s="85">
        <f t="shared" si="52"/>
        <v>0</v>
      </c>
      <c r="S241" s="85">
        <f t="shared" si="53"/>
        <v>0</v>
      </c>
      <c r="T241" s="79"/>
      <c r="U241" s="79"/>
      <c r="V241" s="79"/>
      <c r="W241" s="79"/>
      <c r="X241" s="79"/>
      <c r="Y241" s="82"/>
      <c r="Z241" s="79"/>
      <c r="AA241" s="79"/>
      <c r="AB241" s="79"/>
      <c r="AC241" s="79"/>
      <c r="AD241" s="79"/>
      <c r="AE241" s="79"/>
      <c r="AF241" s="79"/>
      <c r="AG241" s="79"/>
      <c r="AH241" s="79"/>
    </row>
    <row r="242" spans="1:34" x14ac:dyDescent="0.2">
      <c r="A242" s="74">
        <v>231</v>
      </c>
      <c r="B242" s="78"/>
      <c r="C242" s="78"/>
      <c r="D242" s="78"/>
      <c r="E242" s="76"/>
      <c r="F242" s="77"/>
      <c r="G242" s="79"/>
      <c r="H242" s="84">
        <f t="shared" si="45"/>
        <v>0</v>
      </c>
      <c r="I242" s="84">
        <f t="shared" si="46"/>
        <v>0</v>
      </c>
      <c r="J242" s="79"/>
      <c r="K242" s="84">
        <f t="shared" si="47"/>
        <v>0</v>
      </c>
      <c r="L242" s="79"/>
      <c r="M242" s="84">
        <f t="shared" si="48"/>
        <v>0</v>
      </c>
      <c r="N242" s="79"/>
      <c r="O242" s="84">
        <f t="shared" si="49"/>
        <v>0</v>
      </c>
      <c r="P242" s="84">
        <f t="shared" si="50"/>
        <v>0</v>
      </c>
      <c r="Q242" s="84">
        <f t="shared" si="51"/>
        <v>0</v>
      </c>
      <c r="R242" s="85">
        <f t="shared" si="52"/>
        <v>0</v>
      </c>
      <c r="S242" s="85">
        <f t="shared" si="53"/>
        <v>0</v>
      </c>
      <c r="T242" s="79"/>
      <c r="U242" s="79"/>
      <c r="V242" s="79"/>
      <c r="W242" s="79"/>
      <c r="X242" s="79"/>
      <c r="Y242" s="82"/>
      <c r="Z242" s="79"/>
      <c r="AA242" s="79"/>
      <c r="AB242" s="79"/>
      <c r="AC242" s="79"/>
      <c r="AD242" s="79"/>
      <c r="AE242" s="79"/>
      <c r="AF242" s="79"/>
      <c r="AG242" s="79"/>
      <c r="AH242" s="79"/>
    </row>
    <row r="243" spans="1:34" x14ac:dyDescent="0.2">
      <c r="A243" s="74">
        <v>232</v>
      </c>
      <c r="B243" s="78"/>
      <c r="C243" s="78"/>
      <c r="D243" s="78"/>
      <c r="E243" s="76"/>
      <c r="F243" s="77"/>
      <c r="G243" s="79"/>
      <c r="H243" s="84">
        <f t="shared" si="45"/>
        <v>0</v>
      </c>
      <c r="I243" s="84">
        <f t="shared" si="46"/>
        <v>0</v>
      </c>
      <c r="J243" s="79"/>
      <c r="K243" s="84">
        <f t="shared" si="47"/>
        <v>0</v>
      </c>
      <c r="L243" s="79"/>
      <c r="M243" s="84">
        <f t="shared" si="48"/>
        <v>0</v>
      </c>
      <c r="N243" s="79"/>
      <c r="O243" s="84">
        <f t="shared" si="49"/>
        <v>0</v>
      </c>
      <c r="P243" s="84">
        <f t="shared" si="50"/>
        <v>0</v>
      </c>
      <c r="Q243" s="84">
        <f t="shared" si="51"/>
        <v>0</v>
      </c>
      <c r="R243" s="85">
        <f t="shared" si="52"/>
        <v>0</v>
      </c>
      <c r="S243" s="85">
        <f t="shared" si="53"/>
        <v>0</v>
      </c>
      <c r="T243" s="79"/>
      <c r="U243" s="79"/>
      <c r="V243" s="79"/>
      <c r="W243" s="79"/>
      <c r="X243" s="79"/>
      <c r="Y243" s="82"/>
      <c r="Z243" s="79"/>
      <c r="AA243" s="79"/>
      <c r="AB243" s="79"/>
      <c r="AC243" s="79"/>
      <c r="AD243" s="79"/>
      <c r="AE243" s="79"/>
      <c r="AF243" s="79"/>
      <c r="AG243" s="79"/>
      <c r="AH243" s="79"/>
    </row>
    <row r="244" spans="1:34" x14ac:dyDescent="0.2">
      <c r="A244" s="74">
        <v>233</v>
      </c>
      <c r="B244" s="78"/>
      <c r="C244" s="78"/>
      <c r="D244" s="78"/>
      <c r="E244" s="76"/>
      <c r="F244" s="77"/>
      <c r="G244" s="79"/>
      <c r="H244" s="84">
        <f t="shared" si="45"/>
        <v>0</v>
      </c>
      <c r="I244" s="84">
        <f t="shared" si="46"/>
        <v>0</v>
      </c>
      <c r="J244" s="79"/>
      <c r="K244" s="84">
        <f t="shared" si="47"/>
        <v>0</v>
      </c>
      <c r="L244" s="79"/>
      <c r="M244" s="84">
        <f t="shared" si="48"/>
        <v>0</v>
      </c>
      <c r="N244" s="79"/>
      <c r="O244" s="84">
        <f t="shared" si="49"/>
        <v>0</v>
      </c>
      <c r="P244" s="84">
        <f t="shared" si="50"/>
        <v>0</v>
      </c>
      <c r="Q244" s="84">
        <f t="shared" si="51"/>
        <v>0</v>
      </c>
      <c r="R244" s="85">
        <f t="shared" si="52"/>
        <v>0</v>
      </c>
      <c r="S244" s="85">
        <f t="shared" si="53"/>
        <v>0</v>
      </c>
      <c r="T244" s="79"/>
      <c r="U244" s="79"/>
      <c r="V244" s="79"/>
      <c r="W244" s="79"/>
      <c r="X244" s="79"/>
      <c r="Y244" s="82"/>
      <c r="Z244" s="79"/>
      <c r="AA244" s="79"/>
      <c r="AB244" s="79"/>
      <c r="AC244" s="79"/>
      <c r="AD244" s="79"/>
      <c r="AE244" s="79"/>
      <c r="AF244" s="79"/>
      <c r="AG244" s="79"/>
      <c r="AH244" s="79"/>
    </row>
    <row r="245" spans="1:34" x14ac:dyDescent="0.2">
      <c r="A245" s="74">
        <v>234</v>
      </c>
      <c r="B245" s="78"/>
      <c r="C245" s="78"/>
      <c r="D245" s="78"/>
      <c r="E245" s="76"/>
      <c r="F245" s="77"/>
      <c r="G245" s="79"/>
      <c r="H245" s="84">
        <f t="shared" si="45"/>
        <v>0</v>
      </c>
      <c r="I245" s="84">
        <f t="shared" si="46"/>
        <v>0</v>
      </c>
      <c r="J245" s="79"/>
      <c r="K245" s="84">
        <f t="shared" si="47"/>
        <v>0</v>
      </c>
      <c r="L245" s="79"/>
      <c r="M245" s="84">
        <f t="shared" si="48"/>
        <v>0</v>
      </c>
      <c r="N245" s="79"/>
      <c r="O245" s="84">
        <f t="shared" si="49"/>
        <v>0</v>
      </c>
      <c r="P245" s="84">
        <f t="shared" si="50"/>
        <v>0</v>
      </c>
      <c r="Q245" s="84">
        <f t="shared" si="51"/>
        <v>0</v>
      </c>
      <c r="R245" s="85">
        <f t="shared" si="52"/>
        <v>0</v>
      </c>
      <c r="S245" s="85">
        <f t="shared" si="53"/>
        <v>0</v>
      </c>
      <c r="T245" s="79"/>
      <c r="U245" s="79"/>
      <c r="V245" s="79"/>
      <c r="W245" s="79"/>
      <c r="X245" s="79"/>
      <c r="Y245" s="82"/>
      <c r="Z245" s="79"/>
      <c r="AA245" s="79"/>
      <c r="AB245" s="79"/>
      <c r="AC245" s="79"/>
      <c r="AD245" s="79"/>
      <c r="AE245" s="79"/>
      <c r="AF245" s="79"/>
      <c r="AG245" s="79"/>
      <c r="AH245" s="79"/>
    </row>
    <row r="246" spans="1:34" x14ac:dyDescent="0.2">
      <c r="A246" s="74">
        <v>235</v>
      </c>
      <c r="B246" s="78"/>
      <c r="C246" s="78"/>
      <c r="D246" s="78"/>
      <c r="E246" s="76"/>
      <c r="F246" s="77"/>
      <c r="G246" s="83"/>
      <c r="H246" s="84">
        <f t="shared" si="45"/>
        <v>0</v>
      </c>
      <c r="I246" s="84">
        <f t="shared" si="46"/>
        <v>0</v>
      </c>
      <c r="J246" s="79"/>
      <c r="K246" s="84">
        <f t="shared" si="47"/>
        <v>0</v>
      </c>
      <c r="L246" s="79"/>
      <c r="M246" s="84">
        <f t="shared" si="48"/>
        <v>0</v>
      </c>
      <c r="N246" s="79"/>
      <c r="O246" s="84">
        <f t="shared" si="49"/>
        <v>0</v>
      </c>
      <c r="P246" s="84">
        <f t="shared" si="50"/>
        <v>0</v>
      </c>
      <c r="Q246" s="84">
        <f t="shared" si="51"/>
        <v>0</v>
      </c>
      <c r="R246" s="85">
        <f t="shared" si="52"/>
        <v>0</v>
      </c>
      <c r="S246" s="85">
        <f t="shared" si="53"/>
        <v>0</v>
      </c>
      <c r="T246" s="79"/>
      <c r="U246" s="79"/>
      <c r="V246" s="79"/>
      <c r="W246" s="79"/>
      <c r="X246" s="79"/>
      <c r="Y246" s="82"/>
      <c r="Z246" s="79"/>
      <c r="AA246" s="79"/>
      <c r="AB246" s="79"/>
      <c r="AC246" s="79"/>
      <c r="AD246" s="79"/>
      <c r="AE246" s="79"/>
      <c r="AF246" s="79"/>
      <c r="AG246" s="79"/>
      <c r="AH246" s="79"/>
    </row>
    <row r="247" spans="1:34" x14ac:dyDescent="0.2">
      <c r="A247" s="74">
        <v>236</v>
      </c>
      <c r="B247" s="78"/>
      <c r="C247" s="78"/>
      <c r="D247" s="78"/>
      <c r="E247" s="76"/>
      <c r="F247" s="77"/>
      <c r="G247" s="79"/>
      <c r="H247" s="84">
        <f t="shared" si="45"/>
        <v>0</v>
      </c>
      <c r="I247" s="84">
        <f t="shared" si="46"/>
        <v>0</v>
      </c>
      <c r="J247" s="79"/>
      <c r="K247" s="84">
        <f t="shared" si="47"/>
        <v>0</v>
      </c>
      <c r="L247" s="79"/>
      <c r="M247" s="84">
        <f t="shared" si="48"/>
        <v>0</v>
      </c>
      <c r="N247" s="79"/>
      <c r="O247" s="84">
        <f t="shared" si="49"/>
        <v>0</v>
      </c>
      <c r="P247" s="84">
        <f t="shared" si="50"/>
        <v>0</v>
      </c>
      <c r="Q247" s="84">
        <f t="shared" si="51"/>
        <v>0</v>
      </c>
      <c r="R247" s="85">
        <f t="shared" si="52"/>
        <v>0</v>
      </c>
      <c r="S247" s="85">
        <f t="shared" si="53"/>
        <v>0</v>
      </c>
      <c r="T247" s="79"/>
      <c r="U247" s="79"/>
      <c r="V247" s="79"/>
      <c r="W247" s="79"/>
      <c r="X247" s="79"/>
      <c r="Y247" s="82"/>
      <c r="Z247" s="79"/>
      <c r="AA247" s="79"/>
      <c r="AB247" s="79"/>
      <c r="AC247" s="79"/>
      <c r="AD247" s="79"/>
      <c r="AE247" s="79"/>
      <c r="AF247" s="79"/>
      <c r="AG247" s="79"/>
      <c r="AH247" s="79"/>
    </row>
    <row r="248" spans="1:34" x14ac:dyDescent="0.2">
      <c r="A248" s="74">
        <v>237</v>
      </c>
      <c r="B248" s="78"/>
      <c r="C248" s="78"/>
      <c r="D248" s="78"/>
      <c r="E248" s="76"/>
      <c r="F248" s="77"/>
      <c r="G248" s="79"/>
      <c r="H248" s="84">
        <f t="shared" si="45"/>
        <v>0</v>
      </c>
      <c r="I248" s="84">
        <f t="shared" si="46"/>
        <v>0</v>
      </c>
      <c r="J248" s="79"/>
      <c r="K248" s="84">
        <f t="shared" si="47"/>
        <v>0</v>
      </c>
      <c r="L248" s="79"/>
      <c r="M248" s="84">
        <f t="shared" si="48"/>
        <v>0</v>
      </c>
      <c r="N248" s="79"/>
      <c r="O248" s="84">
        <f t="shared" si="49"/>
        <v>0</v>
      </c>
      <c r="P248" s="84">
        <f t="shared" si="50"/>
        <v>0</v>
      </c>
      <c r="Q248" s="84">
        <f t="shared" si="51"/>
        <v>0</v>
      </c>
      <c r="R248" s="85">
        <f t="shared" si="52"/>
        <v>0</v>
      </c>
      <c r="S248" s="85">
        <f t="shared" si="53"/>
        <v>0</v>
      </c>
      <c r="T248" s="79"/>
      <c r="U248" s="79"/>
      <c r="V248" s="79"/>
      <c r="W248" s="79"/>
      <c r="X248" s="79"/>
      <c r="Y248" s="82"/>
      <c r="Z248" s="79"/>
      <c r="AA248" s="79"/>
      <c r="AB248" s="79"/>
      <c r="AC248" s="79"/>
      <c r="AD248" s="79"/>
      <c r="AE248" s="79"/>
      <c r="AF248" s="79"/>
      <c r="AG248" s="79"/>
      <c r="AH248" s="79"/>
    </row>
    <row r="249" spans="1:34" x14ac:dyDescent="0.2">
      <c r="A249" s="74">
        <v>238</v>
      </c>
      <c r="B249" s="78"/>
      <c r="C249" s="78"/>
      <c r="D249" s="78"/>
      <c r="E249" s="76"/>
      <c r="F249" s="77"/>
      <c r="G249" s="79"/>
      <c r="H249" s="84">
        <f t="shared" si="45"/>
        <v>0</v>
      </c>
      <c r="I249" s="84">
        <f t="shared" si="46"/>
        <v>0</v>
      </c>
      <c r="J249" s="79"/>
      <c r="K249" s="84">
        <f t="shared" si="47"/>
        <v>0</v>
      </c>
      <c r="L249" s="79"/>
      <c r="M249" s="84">
        <f t="shared" si="48"/>
        <v>0</v>
      </c>
      <c r="N249" s="79"/>
      <c r="O249" s="84">
        <f t="shared" si="49"/>
        <v>0</v>
      </c>
      <c r="P249" s="84">
        <f t="shared" si="50"/>
        <v>0</v>
      </c>
      <c r="Q249" s="84">
        <f t="shared" si="51"/>
        <v>0</v>
      </c>
      <c r="R249" s="85">
        <f t="shared" si="52"/>
        <v>0</v>
      </c>
      <c r="S249" s="85">
        <f t="shared" si="53"/>
        <v>0</v>
      </c>
      <c r="T249" s="79"/>
      <c r="U249" s="79"/>
      <c r="V249" s="79"/>
      <c r="W249" s="79"/>
      <c r="X249" s="79"/>
      <c r="Y249" s="82"/>
      <c r="Z249" s="79"/>
      <c r="AA249" s="79"/>
      <c r="AB249" s="79"/>
      <c r="AC249" s="79"/>
      <c r="AD249" s="79"/>
      <c r="AE249" s="79"/>
      <c r="AF249" s="79"/>
      <c r="AG249" s="79"/>
      <c r="AH249" s="79"/>
    </row>
    <row r="250" spans="1:34" x14ac:dyDescent="0.2">
      <c r="A250" s="74">
        <v>239</v>
      </c>
      <c r="B250" s="78"/>
      <c r="C250" s="78"/>
      <c r="D250" s="78"/>
      <c r="E250" s="76"/>
      <c r="F250" s="77"/>
      <c r="G250" s="79"/>
      <c r="H250" s="84">
        <f t="shared" si="45"/>
        <v>0</v>
      </c>
      <c r="I250" s="84">
        <f t="shared" si="46"/>
        <v>0</v>
      </c>
      <c r="J250" s="79"/>
      <c r="K250" s="84">
        <f t="shared" si="47"/>
        <v>0</v>
      </c>
      <c r="L250" s="79"/>
      <c r="M250" s="84">
        <f t="shared" si="48"/>
        <v>0</v>
      </c>
      <c r="N250" s="79"/>
      <c r="O250" s="84">
        <f t="shared" si="49"/>
        <v>0</v>
      </c>
      <c r="P250" s="84">
        <f t="shared" si="50"/>
        <v>0</v>
      </c>
      <c r="Q250" s="84">
        <f t="shared" si="51"/>
        <v>0</v>
      </c>
      <c r="R250" s="85">
        <f t="shared" si="52"/>
        <v>0</v>
      </c>
      <c r="S250" s="85">
        <f t="shared" si="53"/>
        <v>0</v>
      </c>
      <c r="T250" s="79"/>
      <c r="U250" s="79"/>
      <c r="V250" s="79"/>
      <c r="W250" s="79"/>
      <c r="X250" s="79"/>
      <c r="Y250" s="82"/>
      <c r="Z250" s="79"/>
      <c r="AA250" s="79"/>
      <c r="AB250" s="79"/>
      <c r="AC250" s="79"/>
      <c r="AD250" s="79"/>
      <c r="AE250" s="79"/>
      <c r="AF250" s="79"/>
      <c r="AG250" s="79"/>
      <c r="AH250" s="79"/>
    </row>
    <row r="251" spans="1:34" x14ac:dyDescent="0.2">
      <c r="A251" s="74">
        <v>240</v>
      </c>
      <c r="B251" s="78"/>
      <c r="C251" s="78"/>
      <c r="D251" s="78"/>
      <c r="E251" s="76"/>
      <c r="F251" s="77"/>
      <c r="G251" s="79"/>
      <c r="H251" s="84">
        <f t="shared" si="45"/>
        <v>0</v>
      </c>
      <c r="I251" s="84">
        <f t="shared" si="46"/>
        <v>0</v>
      </c>
      <c r="J251" s="79"/>
      <c r="K251" s="84">
        <f t="shared" si="47"/>
        <v>0</v>
      </c>
      <c r="L251" s="79"/>
      <c r="M251" s="84">
        <f t="shared" si="48"/>
        <v>0</v>
      </c>
      <c r="N251" s="79"/>
      <c r="O251" s="84">
        <f t="shared" si="49"/>
        <v>0</v>
      </c>
      <c r="P251" s="84">
        <f t="shared" si="50"/>
        <v>0</v>
      </c>
      <c r="Q251" s="84">
        <f t="shared" si="51"/>
        <v>0</v>
      </c>
      <c r="R251" s="85">
        <f t="shared" si="52"/>
        <v>0</v>
      </c>
      <c r="S251" s="85">
        <f t="shared" si="53"/>
        <v>0</v>
      </c>
      <c r="T251" s="79"/>
      <c r="U251" s="79"/>
      <c r="V251" s="79"/>
      <c r="W251" s="79"/>
      <c r="X251" s="79"/>
      <c r="Y251" s="82"/>
      <c r="Z251" s="79"/>
      <c r="AA251" s="79"/>
      <c r="AB251" s="79"/>
      <c r="AC251" s="79"/>
      <c r="AD251" s="79"/>
      <c r="AE251" s="79"/>
      <c r="AF251" s="79"/>
      <c r="AG251" s="79"/>
      <c r="AH251" s="79"/>
    </row>
    <row r="252" spans="1:34" x14ac:dyDescent="0.2">
      <c r="A252" s="74">
        <v>241</v>
      </c>
      <c r="B252" s="78"/>
      <c r="C252" s="78"/>
      <c r="D252" s="78"/>
      <c r="E252" s="76"/>
      <c r="F252" s="77"/>
      <c r="G252" s="79"/>
      <c r="H252" s="84">
        <f t="shared" si="45"/>
        <v>0</v>
      </c>
      <c r="I252" s="84">
        <f t="shared" si="46"/>
        <v>0</v>
      </c>
      <c r="J252" s="79"/>
      <c r="K252" s="84">
        <f t="shared" si="47"/>
        <v>0</v>
      </c>
      <c r="L252" s="79"/>
      <c r="M252" s="84">
        <f t="shared" si="48"/>
        <v>0</v>
      </c>
      <c r="N252" s="79"/>
      <c r="O252" s="84">
        <f t="shared" si="49"/>
        <v>0</v>
      </c>
      <c r="P252" s="84">
        <f t="shared" si="50"/>
        <v>0</v>
      </c>
      <c r="Q252" s="84">
        <f t="shared" si="51"/>
        <v>0</v>
      </c>
      <c r="R252" s="85">
        <f t="shared" si="52"/>
        <v>0</v>
      </c>
      <c r="S252" s="85">
        <f t="shared" si="53"/>
        <v>0</v>
      </c>
      <c r="T252" s="79"/>
      <c r="U252" s="79"/>
      <c r="V252" s="79"/>
      <c r="W252" s="79"/>
      <c r="X252" s="79"/>
      <c r="Y252" s="82"/>
      <c r="Z252" s="79"/>
      <c r="AA252" s="79"/>
      <c r="AB252" s="79"/>
      <c r="AC252" s="79"/>
      <c r="AD252" s="79"/>
      <c r="AE252" s="79"/>
      <c r="AF252" s="79"/>
      <c r="AG252" s="79"/>
      <c r="AH252" s="79"/>
    </row>
    <row r="253" spans="1:34" x14ac:dyDescent="0.2">
      <c r="A253" s="74">
        <v>242</v>
      </c>
      <c r="B253" s="78"/>
      <c r="C253" s="78"/>
      <c r="D253" s="78"/>
      <c r="E253" s="76"/>
      <c r="F253" s="77"/>
      <c r="G253" s="79"/>
      <c r="H253" s="84">
        <f t="shared" si="45"/>
        <v>0</v>
      </c>
      <c r="I253" s="84">
        <f t="shared" si="46"/>
        <v>0</v>
      </c>
      <c r="J253" s="79"/>
      <c r="K253" s="84">
        <f t="shared" si="47"/>
        <v>0</v>
      </c>
      <c r="L253" s="79"/>
      <c r="M253" s="84">
        <f t="shared" si="48"/>
        <v>0</v>
      </c>
      <c r="N253" s="79"/>
      <c r="O253" s="84">
        <f t="shared" si="49"/>
        <v>0</v>
      </c>
      <c r="P253" s="84">
        <f t="shared" si="50"/>
        <v>0</v>
      </c>
      <c r="Q253" s="84">
        <f t="shared" si="51"/>
        <v>0</v>
      </c>
      <c r="R253" s="85">
        <f t="shared" si="52"/>
        <v>0</v>
      </c>
      <c r="S253" s="85">
        <f t="shared" si="53"/>
        <v>0</v>
      </c>
      <c r="T253" s="79"/>
      <c r="U253" s="79"/>
      <c r="V253" s="79"/>
      <c r="W253" s="79"/>
      <c r="X253" s="79"/>
      <c r="Y253" s="82"/>
      <c r="Z253" s="79"/>
      <c r="AA253" s="79"/>
      <c r="AB253" s="79"/>
      <c r="AC253" s="79"/>
      <c r="AD253" s="79"/>
      <c r="AE253" s="79"/>
      <c r="AF253" s="79"/>
      <c r="AG253" s="79"/>
      <c r="AH253" s="79"/>
    </row>
    <row r="254" spans="1:34" x14ac:dyDescent="0.2">
      <c r="A254" s="74">
        <v>243</v>
      </c>
      <c r="B254" s="78"/>
      <c r="C254" s="78"/>
      <c r="D254" s="78"/>
      <c r="E254" s="76"/>
      <c r="F254" s="77"/>
      <c r="G254" s="79"/>
      <c r="H254" s="84">
        <f t="shared" si="45"/>
        <v>0</v>
      </c>
      <c r="I254" s="84">
        <f t="shared" si="46"/>
        <v>0</v>
      </c>
      <c r="J254" s="79"/>
      <c r="K254" s="84">
        <f t="shared" si="47"/>
        <v>0</v>
      </c>
      <c r="L254" s="79"/>
      <c r="M254" s="84">
        <f t="shared" si="48"/>
        <v>0</v>
      </c>
      <c r="N254" s="79"/>
      <c r="O254" s="84">
        <f t="shared" si="49"/>
        <v>0</v>
      </c>
      <c r="P254" s="84">
        <f t="shared" si="50"/>
        <v>0</v>
      </c>
      <c r="Q254" s="84">
        <f t="shared" si="51"/>
        <v>0</v>
      </c>
      <c r="R254" s="85">
        <f t="shared" si="52"/>
        <v>0</v>
      </c>
      <c r="S254" s="85">
        <f t="shared" si="53"/>
        <v>0</v>
      </c>
      <c r="T254" s="79"/>
      <c r="U254" s="79"/>
      <c r="V254" s="79"/>
      <c r="W254" s="79"/>
      <c r="X254" s="79"/>
      <c r="Y254" s="82"/>
      <c r="Z254" s="79"/>
      <c r="AA254" s="79"/>
      <c r="AB254" s="79"/>
      <c r="AC254" s="79"/>
      <c r="AD254" s="79"/>
      <c r="AE254" s="79"/>
      <c r="AF254" s="79"/>
      <c r="AG254" s="79"/>
      <c r="AH254" s="79"/>
    </row>
    <row r="255" spans="1:34" x14ac:dyDescent="0.2">
      <c r="A255" s="74">
        <v>244</v>
      </c>
      <c r="B255" s="78"/>
      <c r="C255" s="78"/>
      <c r="D255" s="78"/>
      <c r="E255" s="76"/>
      <c r="F255" s="77"/>
      <c r="G255" s="83"/>
      <c r="H255" s="84">
        <f t="shared" si="45"/>
        <v>0</v>
      </c>
      <c r="I255" s="84">
        <f t="shared" si="46"/>
        <v>0</v>
      </c>
      <c r="J255" s="79"/>
      <c r="K255" s="84">
        <f t="shared" si="47"/>
        <v>0</v>
      </c>
      <c r="L255" s="79"/>
      <c r="M255" s="84">
        <f t="shared" si="48"/>
        <v>0</v>
      </c>
      <c r="N255" s="79"/>
      <c r="O255" s="84">
        <f t="shared" si="49"/>
        <v>0</v>
      </c>
      <c r="P255" s="84">
        <f t="shared" si="50"/>
        <v>0</v>
      </c>
      <c r="Q255" s="84">
        <f t="shared" si="51"/>
        <v>0</v>
      </c>
      <c r="R255" s="85">
        <f t="shared" si="52"/>
        <v>0</v>
      </c>
      <c r="S255" s="85">
        <f t="shared" si="53"/>
        <v>0</v>
      </c>
      <c r="T255" s="79"/>
      <c r="U255" s="79"/>
      <c r="V255" s="79"/>
      <c r="W255" s="79"/>
      <c r="X255" s="79"/>
      <c r="Y255" s="82"/>
      <c r="Z255" s="79"/>
      <c r="AA255" s="79"/>
      <c r="AB255" s="79"/>
      <c r="AC255" s="79"/>
      <c r="AD255" s="79"/>
      <c r="AE255" s="79"/>
      <c r="AF255" s="79"/>
      <c r="AG255" s="79"/>
      <c r="AH255" s="79"/>
    </row>
    <row r="256" spans="1:34" x14ac:dyDescent="0.2">
      <c r="A256" s="74">
        <v>245</v>
      </c>
      <c r="B256" s="78"/>
      <c r="C256" s="78"/>
      <c r="D256" s="78"/>
      <c r="E256" s="76"/>
      <c r="F256" s="77"/>
      <c r="G256" s="79"/>
      <c r="H256" s="84">
        <f t="shared" si="45"/>
        <v>0</v>
      </c>
      <c r="I256" s="84">
        <f t="shared" si="46"/>
        <v>0</v>
      </c>
      <c r="J256" s="79"/>
      <c r="K256" s="84">
        <f t="shared" si="47"/>
        <v>0</v>
      </c>
      <c r="L256" s="79"/>
      <c r="M256" s="84">
        <f t="shared" si="48"/>
        <v>0</v>
      </c>
      <c r="N256" s="79"/>
      <c r="O256" s="84">
        <f t="shared" si="49"/>
        <v>0</v>
      </c>
      <c r="P256" s="84">
        <f t="shared" si="50"/>
        <v>0</v>
      </c>
      <c r="Q256" s="84">
        <f t="shared" si="51"/>
        <v>0</v>
      </c>
      <c r="R256" s="85">
        <f t="shared" si="52"/>
        <v>0</v>
      </c>
      <c r="S256" s="85">
        <f t="shared" si="53"/>
        <v>0</v>
      </c>
      <c r="T256" s="79"/>
      <c r="U256" s="79"/>
      <c r="V256" s="79"/>
      <c r="W256" s="79"/>
      <c r="X256" s="79"/>
      <c r="Y256" s="82"/>
      <c r="Z256" s="79"/>
      <c r="AA256" s="79"/>
      <c r="AB256" s="79"/>
      <c r="AC256" s="79"/>
      <c r="AD256" s="79"/>
      <c r="AE256" s="79"/>
      <c r="AF256" s="79"/>
      <c r="AG256" s="79"/>
      <c r="AH256" s="79"/>
    </row>
    <row r="257" spans="1:34" x14ac:dyDescent="0.2">
      <c r="A257" s="74">
        <v>246</v>
      </c>
      <c r="B257" s="78"/>
      <c r="C257" s="78"/>
      <c r="D257" s="78"/>
      <c r="E257" s="76"/>
      <c r="F257" s="77"/>
      <c r="G257" s="79"/>
      <c r="H257" s="84">
        <f t="shared" si="45"/>
        <v>0</v>
      </c>
      <c r="I257" s="84">
        <f t="shared" si="46"/>
        <v>0</v>
      </c>
      <c r="J257" s="79"/>
      <c r="K257" s="84">
        <f t="shared" si="47"/>
        <v>0</v>
      </c>
      <c r="L257" s="79"/>
      <c r="M257" s="84">
        <f t="shared" si="48"/>
        <v>0</v>
      </c>
      <c r="N257" s="79"/>
      <c r="O257" s="84">
        <f t="shared" si="49"/>
        <v>0</v>
      </c>
      <c r="P257" s="84">
        <f t="shared" si="50"/>
        <v>0</v>
      </c>
      <c r="Q257" s="84">
        <f t="shared" si="51"/>
        <v>0</v>
      </c>
      <c r="R257" s="85">
        <f t="shared" si="52"/>
        <v>0</v>
      </c>
      <c r="S257" s="85">
        <f t="shared" si="53"/>
        <v>0</v>
      </c>
      <c r="T257" s="79"/>
      <c r="U257" s="79"/>
      <c r="V257" s="79"/>
      <c r="W257" s="79"/>
      <c r="X257" s="79"/>
      <c r="Y257" s="82"/>
      <c r="Z257" s="79"/>
      <c r="AA257" s="79"/>
      <c r="AB257" s="79"/>
      <c r="AC257" s="79"/>
      <c r="AD257" s="79"/>
      <c r="AE257" s="79"/>
      <c r="AF257" s="79"/>
      <c r="AG257" s="79"/>
      <c r="AH257" s="79"/>
    </row>
    <row r="258" spans="1:34" x14ac:dyDescent="0.2">
      <c r="A258" s="74">
        <v>247</v>
      </c>
      <c r="B258" s="78"/>
      <c r="C258" s="78"/>
      <c r="D258" s="78"/>
      <c r="E258" s="76"/>
      <c r="F258" s="77"/>
      <c r="G258" s="79"/>
      <c r="H258" s="84">
        <f t="shared" si="45"/>
        <v>0</v>
      </c>
      <c r="I258" s="84">
        <f t="shared" si="46"/>
        <v>0</v>
      </c>
      <c r="J258" s="79"/>
      <c r="K258" s="84">
        <f t="shared" si="47"/>
        <v>0</v>
      </c>
      <c r="L258" s="79"/>
      <c r="M258" s="84">
        <f t="shared" si="48"/>
        <v>0</v>
      </c>
      <c r="N258" s="79"/>
      <c r="O258" s="84">
        <f t="shared" si="49"/>
        <v>0</v>
      </c>
      <c r="P258" s="84">
        <f t="shared" si="50"/>
        <v>0</v>
      </c>
      <c r="Q258" s="84">
        <f t="shared" si="51"/>
        <v>0</v>
      </c>
      <c r="R258" s="85">
        <f t="shared" si="52"/>
        <v>0</v>
      </c>
      <c r="S258" s="85">
        <f t="shared" si="53"/>
        <v>0</v>
      </c>
      <c r="T258" s="79"/>
      <c r="U258" s="79"/>
      <c r="V258" s="79"/>
      <c r="W258" s="79"/>
      <c r="X258" s="79"/>
      <c r="Y258" s="82"/>
      <c r="Z258" s="79"/>
      <c r="AA258" s="79"/>
      <c r="AB258" s="79"/>
      <c r="AC258" s="79"/>
      <c r="AD258" s="79"/>
      <c r="AE258" s="79"/>
      <c r="AF258" s="79"/>
      <c r="AG258" s="79"/>
      <c r="AH258" s="79"/>
    </row>
    <row r="259" spans="1:34" x14ac:dyDescent="0.2">
      <c r="A259" s="74">
        <v>248</v>
      </c>
      <c r="B259" s="78"/>
      <c r="C259" s="78"/>
      <c r="D259" s="78"/>
      <c r="E259" s="76"/>
      <c r="F259" s="77"/>
      <c r="G259" s="79"/>
      <c r="H259" s="84">
        <f t="shared" si="45"/>
        <v>0</v>
      </c>
      <c r="I259" s="84">
        <f t="shared" si="46"/>
        <v>0</v>
      </c>
      <c r="J259" s="79"/>
      <c r="K259" s="84">
        <f t="shared" si="47"/>
        <v>0</v>
      </c>
      <c r="L259" s="79"/>
      <c r="M259" s="84">
        <f t="shared" si="48"/>
        <v>0</v>
      </c>
      <c r="N259" s="79"/>
      <c r="O259" s="84">
        <f t="shared" si="49"/>
        <v>0</v>
      </c>
      <c r="P259" s="84">
        <f t="shared" si="50"/>
        <v>0</v>
      </c>
      <c r="Q259" s="84">
        <f t="shared" si="51"/>
        <v>0</v>
      </c>
      <c r="R259" s="85">
        <f t="shared" si="52"/>
        <v>0</v>
      </c>
      <c r="S259" s="85">
        <f t="shared" si="53"/>
        <v>0</v>
      </c>
      <c r="T259" s="79"/>
      <c r="U259" s="79"/>
      <c r="V259" s="79"/>
      <c r="W259" s="79"/>
      <c r="X259" s="79"/>
      <c r="Y259" s="82"/>
      <c r="Z259" s="79"/>
      <c r="AA259" s="79"/>
      <c r="AB259" s="79"/>
      <c r="AC259" s="79"/>
      <c r="AD259" s="79"/>
      <c r="AE259" s="79"/>
      <c r="AF259" s="79"/>
      <c r="AG259" s="79"/>
      <c r="AH259" s="79"/>
    </row>
    <row r="260" spans="1:34" x14ac:dyDescent="0.2">
      <c r="A260" s="74">
        <v>249</v>
      </c>
      <c r="B260" s="78"/>
      <c r="C260" s="78"/>
      <c r="D260" s="78"/>
      <c r="E260" s="76"/>
      <c r="F260" s="77"/>
      <c r="G260" s="79"/>
      <c r="H260" s="84">
        <f t="shared" si="45"/>
        <v>0</v>
      </c>
      <c r="I260" s="84">
        <f t="shared" si="46"/>
        <v>0</v>
      </c>
      <c r="J260" s="79"/>
      <c r="K260" s="84">
        <f t="shared" si="47"/>
        <v>0</v>
      </c>
      <c r="L260" s="79"/>
      <c r="M260" s="84">
        <f t="shared" si="48"/>
        <v>0</v>
      </c>
      <c r="N260" s="79"/>
      <c r="O260" s="84">
        <f t="shared" si="49"/>
        <v>0</v>
      </c>
      <c r="P260" s="84">
        <f t="shared" si="50"/>
        <v>0</v>
      </c>
      <c r="Q260" s="84">
        <f t="shared" si="51"/>
        <v>0</v>
      </c>
      <c r="R260" s="85">
        <f t="shared" si="52"/>
        <v>0</v>
      </c>
      <c r="S260" s="85">
        <f t="shared" si="53"/>
        <v>0</v>
      </c>
      <c r="T260" s="79"/>
      <c r="U260" s="79"/>
      <c r="V260" s="79"/>
      <c r="W260" s="79"/>
      <c r="X260" s="79"/>
      <c r="Y260" s="82"/>
      <c r="Z260" s="79"/>
      <c r="AA260" s="79"/>
      <c r="AB260" s="79"/>
      <c r="AC260" s="79"/>
      <c r="AD260" s="79"/>
      <c r="AE260" s="79"/>
      <c r="AF260" s="79"/>
      <c r="AG260" s="79"/>
      <c r="AH260" s="79"/>
    </row>
    <row r="261" spans="1:34" x14ac:dyDescent="0.2">
      <c r="A261" s="74">
        <v>250</v>
      </c>
      <c r="B261" s="78"/>
      <c r="C261" s="78"/>
      <c r="D261" s="78"/>
      <c r="E261" s="76"/>
      <c r="F261" s="77"/>
      <c r="G261" s="83"/>
      <c r="H261" s="84">
        <f t="shared" si="45"/>
        <v>0</v>
      </c>
      <c r="I261" s="84">
        <f t="shared" si="46"/>
        <v>0</v>
      </c>
      <c r="J261" s="79"/>
      <c r="K261" s="84">
        <f t="shared" si="47"/>
        <v>0</v>
      </c>
      <c r="L261" s="79"/>
      <c r="M261" s="84">
        <f t="shared" si="48"/>
        <v>0</v>
      </c>
      <c r="N261" s="79"/>
      <c r="O261" s="84">
        <f t="shared" si="49"/>
        <v>0</v>
      </c>
      <c r="P261" s="84">
        <f t="shared" si="50"/>
        <v>0</v>
      </c>
      <c r="Q261" s="84">
        <f t="shared" si="51"/>
        <v>0</v>
      </c>
      <c r="R261" s="85">
        <f t="shared" si="52"/>
        <v>0</v>
      </c>
      <c r="S261" s="85">
        <f t="shared" si="53"/>
        <v>0</v>
      </c>
      <c r="T261" s="79"/>
      <c r="U261" s="79"/>
      <c r="V261" s="79"/>
      <c r="W261" s="79"/>
      <c r="X261" s="79"/>
      <c r="Y261" s="82"/>
      <c r="Z261" s="79"/>
      <c r="AA261" s="79"/>
      <c r="AB261" s="79"/>
      <c r="AC261" s="79"/>
      <c r="AD261" s="79"/>
      <c r="AE261" s="79"/>
      <c r="AF261" s="79"/>
      <c r="AG261" s="79"/>
      <c r="AH261" s="79"/>
    </row>
    <row r="262" spans="1:34" ht="25.5" customHeight="1" thickBot="1" x14ac:dyDescent="0.3">
      <c r="A262" s="52"/>
      <c r="B262" s="50"/>
      <c r="C262" s="67"/>
      <c r="D262" s="86" t="s">
        <v>13</v>
      </c>
      <c r="E262" s="87">
        <f>SUM(E12:E261)</f>
        <v>9</v>
      </c>
      <c r="F262" s="67"/>
      <c r="G262" s="195"/>
      <c r="H262" s="88">
        <f>SUM(H12:H261)</f>
        <v>3970</v>
      </c>
      <c r="I262" s="89">
        <f>SUM(I12:I261)</f>
        <v>1548.3</v>
      </c>
      <c r="J262" s="50"/>
      <c r="K262" s="50"/>
      <c r="L262" s="195"/>
      <c r="M262" s="195"/>
      <c r="N262" s="195"/>
      <c r="O262" s="195"/>
      <c r="P262" s="87">
        <f>SUM(P12:P261)</f>
        <v>15500</v>
      </c>
      <c r="Q262" s="89">
        <f>SUM(Q12:Q261)</f>
        <v>34177.5</v>
      </c>
      <c r="R262" s="89">
        <f>SUM(R12:R261)</f>
        <v>43.330000000000005</v>
      </c>
      <c r="S262" s="89">
        <f>SUM(S12:S261)</f>
        <v>42.908000000000008</v>
      </c>
      <c r="T262" s="68"/>
      <c r="U262" s="50"/>
      <c r="V262" s="50"/>
      <c r="W262" s="50"/>
      <c r="X262" s="50"/>
      <c r="Y262" s="50"/>
      <c r="Z262" s="50"/>
      <c r="AA262" s="50"/>
      <c r="AB262" s="52"/>
      <c r="AC262" s="52"/>
      <c r="AD262" s="52"/>
      <c r="AE262" s="52"/>
      <c r="AF262" s="52"/>
      <c r="AG262" s="52"/>
      <c r="AH262" s="52"/>
    </row>
    <row r="263" spans="1:34" ht="12.75" customHeight="1" thickTop="1" x14ac:dyDescent="0.2">
      <c r="A263" s="69"/>
      <c r="B263" s="70"/>
      <c r="C263" s="70"/>
      <c r="D263" s="70"/>
      <c r="E263" s="50"/>
      <c r="F263" s="50"/>
      <c r="G263" s="50"/>
      <c r="H263" s="71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2"/>
      <c r="AC263" s="52"/>
      <c r="AD263" s="52"/>
      <c r="AE263" s="52"/>
      <c r="AF263" s="52"/>
      <c r="AG263" s="52"/>
      <c r="AH263" s="52"/>
    </row>
    <row r="264" spans="1:34" ht="13.5" x14ac:dyDescent="0.2">
      <c r="A264" s="7"/>
      <c r="B264" s="5"/>
      <c r="C264" s="5"/>
      <c r="D264" s="5"/>
    </row>
    <row r="265" spans="1:34" x14ac:dyDescent="0.2">
      <c r="A265" s="4" t="s">
        <v>30</v>
      </c>
      <c r="B265" s="3"/>
      <c r="C265" s="3"/>
      <c r="D265" s="3"/>
      <c r="E265" s="3"/>
      <c r="F265" s="3"/>
    </row>
    <row r="266" spans="1:34" x14ac:dyDescent="0.2">
      <c r="A266" t="s">
        <v>2</v>
      </c>
      <c r="B266" t="s">
        <v>31</v>
      </c>
      <c r="C266"/>
      <c r="D266"/>
      <c r="E266" s="3"/>
      <c r="F266" s="3"/>
    </row>
    <row r="267" spans="1:34" x14ac:dyDescent="0.2">
      <c r="A267" s="6">
        <v>2</v>
      </c>
      <c r="B267" s="15" t="s">
        <v>508</v>
      </c>
      <c r="C267"/>
      <c r="D267"/>
      <c r="E267" s="3"/>
      <c r="F267" s="3"/>
    </row>
    <row r="268" spans="1:34" x14ac:dyDescent="0.2">
      <c r="A268" s="6" t="s">
        <v>27</v>
      </c>
      <c r="B268" s="179" t="s">
        <v>707</v>
      </c>
      <c r="C268"/>
      <c r="D268"/>
      <c r="E268" s="3"/>
      <c r="F268" s="3"/>
    </row>
    <row r="269" spans="1:34" ht="28.5" customHeight="1" x14ac:dyDescent="0.2">
      <c r="A269" s="9" t="s">
        <v>28</v>
      </c>
      <c r="B269" s="235" t="s">
        <v>512</v>
      </c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</row>
    <row r="270" spans="1:34" x14ac:dyDescent="0.2">
      <c r="A270" s="1" t="s">
        <v>33</v>
      </c>
      <c r="B270" s="10" t="s">
        <v>506</v>
      </c>
      <c r="C270" s="10"/>
      <c r="D270" s="10"/>
    </row>
    <row r="271" spans="1:34" x14ac:dyDescent="0.2">
      <c r="A271" s="28" t="s">
        <v>516</v>
      </c>
      <c r="B271" s="29" t="s">
        <v>525</v>
      </c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</row>
    <row r="272" spans="1:34" x14ac:dyDescent="0.2">
      <c r="A272" s="28"/>
      <c r="B272" s="31" t="s">
        <v>524</v>
      </c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</row>
    <row r="273" spans="1:16" x14ac:dyDescent="0.2">
      <c r="A273" s="32" t="s">
        <v>517</v>
      </c>
      <c r="B273" s="29" t="s">
        <v>526</v>
      </c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</row>
    <row r="274" spans="1:16" x14ac:dyDescent="0.2">
      <c r="A274" s="32" t="s">
        <v>522</v>
      </c>
      <c r="B274" s="29" t="s">
        <v>527</v>
      </c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</row>
  </sheetData>
  <sheetProtection formatCells="0" formatColumns="0" formatRows="0" sort="0" autoFilter="0"/>
  <mergeCells count="17">
    <mergeCell ref="C6:F6"/>
    <mergeCell ref="H10:I10"/>
    <mergeCell ref="C5:F5"/>
    <mergeCell ref="B269:M269"/>
    <mergeCell ref="N10:O10"/>
    <mergeCell ref="J10:K10"/>
    <mergeCell ref="L10:M10"/>
    <mergeCell ref="E10:E11"/>
    <mergeCell ref="AE10:AH10"/>
    <mergeCell ref="G9:AH9"/>
    <mergeCell ref="F10:F11"/>
    <mergeCell ref="A10:A11"/>
    <mergeCell ref="B10:B11"/>
    <mergeCell ref="C10:C11"/>
    <mergeCell ref="D10:D11"/>
    <mergeCell ref="Y10:Z10"/>
    <mergeCell ref="P10:Q10"/>
  </mergeCells>
  <phoneticPr fontId="0" type="noConversion"/>
  <printOptions horizontalCentered="1"/>
  <pageMargins left="0" right="0" top="0.19685039370078741" bottom="0.19685039370078741" header="0.51181102362204722" footer="0.51181102362204722"/>
  <pageSetup paperSize="9" scale="59" fitToHeight="0" orientation="landscape" horizontalDpi="360" r:id="rId1"/>
  <headerFooter alignWithMargins="0">
    <oddFooter>&amp;L&amp;F&amp;CPage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81"/>
  <sheetViews>
    <sheetView showGridLines="0" zoomScale="70" zoomScaleNormal="70" workbookViewId="0">
      <selection activeCell="A14" sqref="A14:XFD14"/>
    </sheetView>
  </sheetViews>
  <sheetFormatPr defaultColWidth="9.140625" defaultRowHeight="12.75" x14ac:dyDescent="0.2"/>
  <cols>
    <col min="1" max="1" width="4.7109375" style="159" customWidth="1"/>
    <col min="2" max="3" width="30.7109375" style="159" customWidth="1"/>
    <col min="4" max="95" width="20.7109375" style="159" customWidth="1"/>
    <col min="96" max="103" width="20.7109375" style="94" customWidth="1"/>
    <col min="104" max="16384" width="9.140625" style="94"/>
  </cols>
  <sheetData>
    <row r="1" spans="1:103" ht="30" customHeight="1" x14ac:dyDescent="0.3">
      <c r="A1" s="238" t="s">
        <v>528</v>
      </c>
      <c r="B1" s="238"/>
      <c r="C1" s="238"/>
      <c r="D1" s="90"/>
      <c r="E1" s="91"/>
      <c r="F1" s="92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91"/>
      <c r="CP1" s="91"/>
      <c r="CQ1" s="91"/>
      <c r="CR1" s="93"/>
      <c r="CS1" s="93"/>
      <c r="CT1" s="93"/>
      <c r="CU1" s="93"/>
      <c r="CV1" s="93"/>
      <c r="CW1" s="93"/>
      <c r="CX1" s="93"/>
      <c r="CY1" s="93"/>
    </row>
    <row r="2" spans="1:103" ht="30" customHeight="1" thickBot="1" x14ac:dyDescent="0.25">
      <c r="A2" s="238" t="s">
        <v>529</v>
      </c>
      <c r="B2" s="238"/>
      <c r="C2" s="238"/>
      <c r="D2" s="91"/>
      <c r="E2" s="95"/>
      <c r="F2" s="95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3"/>
      <c r="CS2" s="93"/>
      <c r="CT2" s="93"/>
      <c r="CU2" s="93"/>
      <c r="CV2" s="93"/>
      <c r="CW2" s="93"/>
      <c r="CX2" s="93"/>
      <c r="CY2" s="93"/>
    </row>
    <row r="3" spans="1:103" s="41" customFormat="1" ht="24" customHeight="1" thickBot="1" x14ac:dyDescent="0.25">
      <c r="A3" s="33"/>
      <c r="B3" s="34" t="s">
        <v>16</v>
      </c>
      <c r="C3" s="35"/>
      <c r="D3" s="36"/>
      <c r="E3" s="37"/>
      <c r="F3" s="37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9"/>
      <c r="CO3" s="39"/>
      <c r="CP3" s="39"/>
      <c r="CQ3" s="39"/>
      <c r="CR3" s="40"/>
      <c r="CS3" s="40"/>
      <c r="CT3" s="40"/>
      <c r="CU3" s="40"/>
      <c r="CV3" s="40"/>
      <c r="CW3" s="40"/>
      <c r="CX3" s="40"/>
      <c r="CY3" s="40"/>
    </row>
    <row r="4" spans="1:103" s="41" customFormat="1" ht="24" customHeight="1" thickBot="1" x14ac:dyDescent="0.25">
      <c r="A4" s="33"/>
      <c r="B4" s="34" t="s">
        <v>530</v>
      </c>
      <c r="C4" s="42"/>
      <c r="D4" s="43"/>
      <c r="E4" s="37"/>
      <c r="F4" s="37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9"/>
      <c r="CO4" s="39"/>
      <c r="CP4" s="39"/>
      <c r="CQ4" s="39"/>
      <c r="CR4" s="40"/>
      <c r="CS4" s="40"/>
      <c r="CT4" s="40"/>
      <c r="CU4" s="40"/>
      <c r="CV4" s="40"/>
      <c r="CW4" s="40"/>
      <c r="CX4" s="40"/>
      <c r="CY4" s="40"/>
    </row>
    <row r="5" spans="1:103" s="41" customFormat="1" ht="24" customHeight="1" thickBot="1" x14ac:dyDescent="0.25">
      <c r="A5" s="33"/>
      <c r="B5" s="34" t="s">
        <v>531</v>
      </c>
      <c r="C5" s="35"/>
      <c r="D5" s="43"/>
      <c r="E5" s="37"/>
      <c r="F5" s="37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9"/>
      <c r="CO5" s="39"/>
      <c r="CP5" s="39"/>
      <c r="CQ5" s="39"/>
      <c r="CR5" s="40"/>
      <c r="CS5" s="40"/>
      <c r="CT5" s="40"/>
      <c r="CU5" s="40"/>
      <c r="CV5" s="40"/>
      <c r="CW5" s="40"/>
      <c r="CX5" s="40"/>
      <c r="CY5" s="40"/>
    </row>
    <row r="6" spans="1:103" s="163" customFormat="1" ht="24" customHeight="1" thickBot="1" x14ac:dyDescent="0.25">
      <c r="A6" s="239" t="s">
        <v>532</v>
      </c>
      <c r="B6" s="240"/>
      <c r="C6" s="241"/>
      <c r="D6" s="191"/>
      <c r="E6" s="160"/>
      <c r="F6" s="45"/>
      <c r="G6" s="44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161"/>
      <c r="CU6" s="161"/>
      <c r="CV6" s="161"/>
      <c r="CW6" s="161"/>
      <c r="CX6" s="161"/>
      <c r="CY6" s="162"/>
    </row>
    <row r="7" spans="1:103" s="163" customFormat="1" ht="24" customHeight="1" x14ac:dyDescent="0.2">
      <c r="A7" s="175" t="s">
        <v>533</v>
      </c>
      <c r="B7" s="176" t="s">
        <v>534</v>
      </c>
      <c r="C7" s="177"/>
      <c r="D7" s="192" t="s">
        <v>535</v>
      </c>
      <c r="E7" s="178" t="s">
        <v>536</v>
      </c>
      <c r="F7" s="178" t="s">
        <v>537</v>
      </c>
      <c r="G7" s="178" t="s">
        <v>538</v>
      </c>
      <c r="H7" s="178" t="s">
        <v>539</v>
      </c>
      <c r="I7" s="178" t="s">
        <v>540</v>
      </c>
      <c r="J7" s="178" t="s">
        <v>541</v>
      </c>
      <c r="K7" s="178" t="s">
        <v>542</v>
      </c>
      <c r="L7" s="178" t="s">
        <v>543</v>
      </c>
      <c r="M7" s="178" t="s">
        <v>544</v>
      </c>
      <c r="N7" s="178" t="s">
        <v>545</v>
      </c>
      <c r="O7" s="178" t="s">
        <v>546</v>
      </c>
      <c r="P7" s="178" t="s">
        <v>547</v>
      </c>
      <c r="Q7" s="178" t="s">
        <v>548</v>
      </c>
      <c r="R7" s="178" t="s">
        <v>549</v>
      </c>
      <c r="S7" s="178" t="s">
        <v>620</v>
      </c>
      <c r="T7" s="178" t="s">
        <v>621</v>
      </c>
      <c r="U7" s="178" t="s">
        <v>622</v>
      </c>
      <c r="V7" s="178" t="s">
        <v>623</v>
      </c>
      <c r="W7" s="178" t="s">
        <v>624</v>
      </c>
      <c r="X7" s="178" t="s">
        <v>625</v>
      </c>
      <c r="Y7" s="178" t="s">
        <v>626</v>
      </c>
      <c r="Z7" s="178" t="s">
        <v>627</v>
      </c>
      <c r="AA7" s="178" t="s">
        <v>628</v>
      </c>
      <c r="AB7" s="178" t="s">
        <v>629</v>
      </c>
      <c r="AC7" s="178" t="s">
        <v>630</v>
      </c>
      <c r="AD7" s="178" t="s">
        <v>631</v>
      </c>
      <c r="AE7" s="178" t="s">
        <v>632</v>
      </c>
      <c r="AF7" s="178" t="s">
        <v>633</v>
      </c>
      <c r="AG7" s="178" t="s">
        <v>634</v>
      </c>
      <c r="AH7" s="178" t="s">
        <v>635</v>
      </c>
      <c r="AI7" s="178" t="s">
        <v>636</v>
      </c>
      <c r="AJ7" s="178" t="s">
        <v>637</v>
      </c>
      <c r="AK7" s="178" t="s">
        <v>638</v>
      </c>
      <c r="AL7" s="178" t="s">
        <v>639</v>
      </c>
      <c r="AM7" s="178" t="s">
        <v>640</v>
      </c>
      <c r="AN7" s="178" t="s">
        <v>641</v>
      </c>
      <c r="AO7" s="178" t="s">
        <v>642</v>
      </c>
      <c r="AP7" s="178" t="s">
        <v>643</v>
      </c>
      <c r="AQ7" s="178" t="s">
        <v>644</v>
      </c>
      <c r="AR7" s="178" t="s">
        <v>645</v>
      </c>
      <c r="AS7" s="178" t="s">
        <v>646</v>
      </c>
      <c r="AT7" s="178" t="s">
        <v>647</v>
      </c>
      <c r="AU7" s="178" t="s">
        <v>648</v>
      </c>
      <c r="AV7" s="178" t="s">
        <v>649</v>
      </c>
      <c r="AW7" s="178" t="s">
        <v>650</v>
      </c>
      <c r="AX7" s="178" t="s">
        <v>651</v>
      </c>
      <c r="AY7" s="178" t="s">
        <v>652</v>
      </c>
      <c r="AZ7" s="178" t="s">
        <v>653</v>
      </c>
      <c r="BA7" s="178" t="s">
        <v>654</v>
      </c>
      <c r="BB7" s="178" t="s">
        <v>655</v>
      </c>
      <c r="BC7" s="178" t="s">
        <v>656</v>
      </c>
      <c r="BD7" s="178" t="s">
        <v>657</v>
      </c>
      <c r="BE7" s="178" t="s">
        <v>658</v>
      </c>
      <c r="BF7" s="178" t="s">
        <v>659</v>
      </c>
      <c r="BG7" s="178" t="s">
        <v>660</v>
      </c>
      <c r="BH7" s="178" t="s">
        <v>661</v>
      </c>
      <c r="BI7" s="178" t="s">
        <v>662</v>
      </c>
      <c r="BJ7" s="178" t="s">
        <v>663</v>
      </c>
      <c r="BK7" s="178" t="s">
        <v>664</v>
      </c>
      <c r="BL7" s="178" t="s">
        <v>665</v>
      </c>
      <c r="BM7" s="178" t="s">
        <v>666</v>
      </c>
      <c r="BN7" s="178" t="s">
        <v>667</v>
      </c>
      <c r="BO7" s="178" t="s">
        <v>668</v>
      </c>
      <c r="BP7" s="178" t="s">
        <v>669</v>
      </c>
      <c r="BQ7" s="178" t="s">
        <v>670</v>
      </c>
      <c r="BR7" s="178" t="s">
        <v>671</v>
      </c>
      <c r="BS7" s="178" t="s">
        <v>672</v>
      </c>
      <c r="BT7" s="178" t="s">
        <v>673</v>
      </c>
      <c r="BU7" s="178" t="s">
        <v>674</v>
      </c>
      <c r="BV7" s="178" t="s">
        <v>675</v>
      </c>
      <c r="BW7" s="178" t="s">
        <v>676</v>
      </c>
      <c r="BX7" s="178" t="s">
        <v>677</v>
      </c>
      <c r="BY7" s="178" t="s">
        <v>678</v>
      </c>
      <c r="BZ7" s="178" t="s">
        <v>679</v>
      </c>
      <c r="CA7" s="178" t="s">
        <v>680</v>
      </c>
      <c r="CB7" s="178" t="s">
        <v>681</v>
      </c>
      <c r="CC7" s="178" t="s">
        <v>682</v>
      </c>
      <c r="CD7" s="178" t="s">
        <v>683</v>
      </c>
      <c r="CE7" s="178" t="s">
        <v>684</v>
      </c>
      <c r="CF7" s="178" t="s">
        <v>685</v>
      </c>
      <c r="CG7" s="178" t="s">
        <v>686</v>
      </c>
      <c r="CH7" s="178" t="s">
        <v>687</v>
      </c>
      <c r="CI7" s="178" t="s">
        <v>688</v>
      </c>
      <c r="CJ7" s="178" t="s">
        <v>689</v>
      </c>
      <c r="CK7" s="178" t="s">
        <v>690</v>
      </c>
      <c r="CL7" s="178" t="s">
        <v>691</v>
      </c>
      <c r="CM7" s="178" t="s">
        <v>692</v>
      </c>
      <c r="CN7" s="178" t="s">
        <v>693</v>
      </c>
      <c r="CO7" s="178" t="s">
        <v>694</v>
      </c>
      <c r="CP7" s="178" t="s">
        <v>695</v>
      </c>
      <c r="CQ7" s="178" t="s">
        <v>696</v>
      </c>
      <c r="CR7" s="178" t="s">
        <v>697</v>
      </c>
      <c r="CS7" s="178" t="s">
        <v>698</v>
      </c>
      <c r="CT7" s="178" t="s">
        <v>699</v>
      </c>
      <c r="CU7" s="178" t="s">
        <v>700</v>
      </c>
      <c r="CV7" s="178" t="s">
        <v>701</v>
      </c>
      <c r="CW7" s="178" t="s">
        <v>702</v>
      </c>
      <c r="CX7" s="178" t="s">
        <v>703</v>
      </c>
      <c r="CY7" s="178" t="s">
        <v>704</v>
      </c>
    </row>
    <row r="8" spans="1:103" s="165" customFormat="1" ht="24" customHeight="1" x14ac:dyDescent="0.2">
      <c r="A8" s="164">
        <v>1</v>
      </c>
      <c r="B8" s="236" t="s">
        <v>550</v>
      </c>
      <c r="C8" s="237"/>
      <c r="D8" s="19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</row>
    <row r="9" spans="1:103" s="165" customFormat="1" ht="24" customHeight="1" x14ac:dyDescent="0.2">
      <c r="A9" s="166">
        <v>2</v>
      </c>
      <c r="B9" s="242" t="s">
        <v>551</v>
      </c>
      <c r="C9" s="243"/>
      <c r="D9" s="194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</row>
    <row r="10" spans="1:103" s="165" customFormat="1" ht="24" customHeight="1" x14ac:dyDescent="0.2">
      <c r="A10" s="166">
        <v>3</v>
      </c>
      <c r="B10" s="236" t="s">
        <v>552</v>
      </c>
      <c r="C10" s="237"/>
      <c r="D10" s="194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</row>
    <row r="11" spans="1:103" s="165" customFormat="1" ht="24" customHeight="1" x14ac:dyDescent="0.2">
      <c r="A11" s="166">
        <v>4</v>
      </c>
      <c r="B11" s="236" t="s">
        <v>553</v>
      </c>
      <c r="C11" s="237"/>
      <c r="D11" s="194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</row>
    <row r="12" spans="1:103" s="165" customFormat="1" ht="24" customHeight="1" x14ac:dyDescent="0.2">
      <c r="A12" s="166">
        <v>5</v>
      </c>
      <c r="B12" s="236" t="s">
        <v>554</v>
      </c>
      <c r="C12" s="237"/>
      <c r="D12" s="194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</row>
    <row r="13" spans="1:103" s="165" customFormat="1" ht="24" customHeight="1" x14ac:dyDescent="0.2">
      <c r="A13" s="166">
        <v>6</v>
      </c>
      <c r="B13" s="167" t="s">
        <v>555</v>
      </c>
      <c r="C13" s="168"/>
      <c r="D13" s="194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</row>
    <row r="14" spans="1:103" s="165" customFormat="1" ht="24" customHeight="1" x14ac:dyDescent="0.2">
      <c r="A14" s="166">
        <v>7</v>
      </c>
      <c r="B14" s="236" t="s">
        <v>556</v>
      </c>
      <c r="C14" s="237"/>
      <c r="D14" s="194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</row>
    <row r="15" spans="1:103" s="165" customFormat="1" ht="24" customHeight="1" x14ac:dyDescent="0.2">
      <c r="A15" s="166">
        <v>8</v>
      </c>
      <c r="B15" s="236" t="s">
        <v>557</v>
      </c>
      <c r="C15" s="237"/>
      <c r="D15" s="194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</row>
    <row r="16" spans="1:103" s="165" customFormat="1" ht="24" customHeight="1" x14ac:dyDescent="0.2">
      <c r="A16" s="166">
        <v>9</v>
      </c>
      <c r="B16" s="236" t="s">
        <v>558</v>
      </c>
      <c r="C16" s="237"/>
      <c r="D16" s="194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</row>
    <row r="17" spans="1:103" s="165" customFormat="1" ht="24" customHeight="1" x14ac:dyDescent="0.2">
      <c r="A17" s="166">
        <v>10</v>
      </c>
      <c r="B17" s="236" t="s">
        <v>559</v>
      </c>
      <c r="C17" s="237"/>
      <c r="D17" s="194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</row>
    <row r="18" spans="1:103" s="165" customFormat="1" ht="24" customHeight="1" x14ac:dyDescent="0.2">
      <c r="A18" s="166">
        <v>11</v>
      </c>
      <c r="B18" s="236" t="s">
        <v>560</v>
      </c>
      <c r="C18" s="23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</row>
    <row r="19" spans="1:103" s="96" customFormat="1" ht="24" customHeight="1" x14ac:dyDescent="0.2">
      <c r="A19" s="97">
        <v>12</v>
      </c>
      <c r="B19" s="244" t="s">
        <v>561</v>
      </c>
      <c r="C19" s="245"/>
      <c r="D19" s="98">
        <f t="shared" ref="D19:H19" si="0">(D17)*(D18)</f>
        <v>0</v>
      </c>
      <c r="E19" s="98">
        <f t="shared" si="0"/>
        <v>0</v>
      </c>
      <c r="F19" s="98">
        <f t="shared" si="0"/>
        <v>0</v>
      </c>
      <c r="G19" s="98">
        <f t="shared" si="0"/>
        <v>0</v>
      </c>
      <c r="H19" s="98">
        <f t="shared" si="0"/>
        <v>0</v>
      </c>
      <c r="I19" s="98">
        <f t="shared" ref="I19:N19" si="1">(I17)*(I18)</f>
        <v>0</v>
      </c>
      <c r="J19" s="98">
        <f t="shared" si="1"/>
        <v>0</v>
      </c>
      <c r="K19" s="98">
        <f t="shared" si="1"/>
        <v>0</v>
      </c>
      <c r="L19" s="98">
        <f t="shared" si="1"/>
        <v>0</v>
      </c>
      <c r="M19" s="98">
        <f t="shared" si="1"/>
        <v>0</v>
      </c>
      <c r="N19" s="98">
        <f t="shared" si="1"/>
        <v>0</v>
      </c>
      <c r="O19" s="98">
        <f t="shared" ref="O19:BZ19" si="2">(O17)*(O18)</f>
        <v>0</v>
      </c>
      <c r="P19" s="98">
        <f t="shared" si="2"/>
        <v>0</v>
      </c>
      <c r="Q19" s="98">
        <f t="shared" si="2"/>
        <v>0</v>
      </c>
      <c r="R19" s="98">
        <f t="shared" si="2"/>
        <v>0</v>
      </c>
      <c r="S19" s="98">
        <f t="shared" si="2"/>
        <v>0</v>
      </c>
      <c r="T19" s="98">
        <f t="shared" si="2"/>
        <v>0</v>
      </c>
      <c r="U19" s="98">
        <f t="shared" si="2"/>
        <v>0</v>
      </c>
      <c r="V19" s="98">
        <f t="shared" si="2"/>
        <v>0</v>
      </c>
      <c r="W19" s="98">
        <f t="shared" si="2"/>
        <v>0</v>
      </c>
      <c r="X19" s="98">
        <f t="shared" si="2"/>
        <v>0</v>
      </c>
      <c r="Y19" s="98">
        <f t="shared" si="2"/>
        <v>0</v>
      </c>
      <c r="Z19" s="98">
        <f t="shared" si="2"/>
        <v>0</v>
      </c>
      <c r="AA19" s="98">
        <f t="shared" si="2"/>
        <v>0</v>
      </c>
      <c r="AB19" s="98">
        <f t="shared" si="2"/>
        <v>0</v>
      </c>
      <c r="AC19" s="98">
        <f t="shared" si="2"/>
        <v>0</v>
      </c>
      <c r="AD19" s="98">
        <f t="shared" si="2"/>
        <v>0</v>
      </c>
      <c r="AE19" s="98">
        <f t="shared" si="2"/>
        <v>0</v>
      </c>
      <c r="AF19" s="98">
        <f t="shared" si="2"/>
        <v>0</v>
      </c>
      <c r="AG19" s="98">
        <f t="shared" si="2"/>
        <v>0</v>
      </c>
      <c r="AH19" s="98">
        <f t="shared" si="2"/>
        <v>0</v>
      </c>
      <c r="AI19" s="98">
        <f t="shared" si="2"/>
        <v>0</v>
      </c>
      <c r="AJ19" s="98">
        <f t="shared" si="2"/>
        <v>0</v>
      </c>
      <c r="AK19" s="98">
        <f t="shared" si="2"/>
        <v>0</v>
      </c>
      <c r="AL19" s="98">
        <f t="shared" si="2"/>
        <v>0</v>
      </c>
      <c r="AM19" s="98">
        <f t="shared" si="2"/>
        <v>0</v>
      </c>
      <c r="AN19" s="98">
        <f t="shared" si="2"/>
        <v>0</v>
      </c>
      <c r="AO19" s="98">
        <f t="shared" si="2"/>
        <v>0</v>
      </c>
      <c r="AP19" s="98">
        <f t="shared" si="2"/>
        <v>0</v>
      </c>
      <c r="AQ19" s="98">
        <f t="shared" si="2"/>
        <v>0</v>
      </c>
      <c r="AR19" s="98">
        <f t="shared" si="2"/>
        <v>0</v>
      </c>
      <c r="AS19" s="98">
        <f t="shared" si="2"/>
        <v>0</v>
      </c>
      <c r="AT19" s="98">
        <f t="shared" si="2"/>
        <v>0</v>
      </c>
      <c r="AU19" s="98">
        <f t="shared" si="2"/>
        <v>0</v>
      </c>
      <c r="AV19" s="98">
        <f t="shared" si="2"/>
        <v>0</v>
      </c>
      <c r="AW19" s="98">
        <f t="shared" si="2"/>
        <v>0</v>
      </c>
      <c r="AX19" s="98">
        <f t="shared" si="2"/>
        <v>0</v>
      </c>
      <c r="AY19" s="98">
        <f t="shared" si="2"/>
        <v>0</v>
      </c>
      <c r="AZ19" s="98">
        <f t="shared" si="2"/>
        <v>0</v>
      </c>
      <c r="BA19" s="98">
        <f t="shared" si="2"/>
        <v>0</v>
      </c>
      <c r="BB19" s="98">
        <f t="shared" si="2"/>
        <v>0</v>
      </c>
      <c r="BC19" s="98">
        <f t="shared" si="2"/>
        <v>0</v>
      </c>
      <c r="BD19" s="98">
        <f t="shared" si="2"/>
        <v>0</v>
      </c>
      <c r="BE19" s="98">
        <f t="shared" si="2"/>
        <v>0</v>
      </c>
      <c r="BF19" s="98">
        <f t="shared" si="2"/>
        <v>0</v>
      </c>
      <c r="BG19" s="98">
        <f t="shared" si="2"/>
        <v>0</v>
      </c>
      <c r="BH19" s="98">
        <f t="shared" si="2"/>
        <v>0</v>
      </c>
      <c r="BI19" s="98">
        <f t="shared" si="2"/>
        <v>0</v>
      </c>
      <c r="BJ19" s="98">
        <f t="shared" si="2"/>
        <v>0</v>
      </c>
      <c r="BK19" s="98">
        <f t="shared" si="2"/>
        <v>0</v>
      </c>
      <c r="BL19" s="98">
        <f t="shared" si="2"/>
        <v>0</v>
      </c>
      <c r="BM19" s="98">
        <f t="shared" si="2"/>
        <v>0</v>
      </c>
      <c r="BN19" s="98">
        <f t="shared" si="2"/>
        <v>0</v>
      </c>
      <c r="BO19" s="98">
        <f t="shared" si="2"/>
        <v>0</v>
      </c>
      <c r="BP19" s="98">
        <f t="shared" si="2"/>
        <v>0</v>
      </c>
      <c r="BQ19" s="98">
        <f t="shared" si="2"/>
        <v>0</v>
      </c>
      <c r="BR19" s="98">
        <f t="shared" si="2"/>
        <v>0</v>
      </c>
      <c r="BS19" s="98">
        <f t="shared" si="2"/>
        <v>0</v>
      </c>
      <c r="BT19" s="98">
        <f t="shared" si="2"/>
        <v>0</v>
      </c>
      <c r="BU19" s="98">
        <f t="shared" si="2"/>
        <v>0</v>
      </c>
      <c r="BV19" s="98">
        <f t="shared" si="2"/>
        <v>0</v>
      </c>
      <c r="BW19" s="98">
        <f t="shared" si="2"/>
        <v>0</v>
      </c>
      <c r="BX19" s="98">
        <f t="shared" si="2"/>
        <v>0</v>
      </c>
      <c r="BY19" s="98">
        <f t="shared" si="2"/>
        <v>0</v>
      </c>
      <c r="BZ19" s="98">
        <f t="shared" si="2"/>
        <v>0</v>
      </c>
      <c r="CA19" s="98">
        <f t="shared" ref="CA19:CY19" si="3">(CA17)*(CA18)</f>
        <v>0</v>
      </c>
      <c r="CB19" s="98">
        <f t="shared" si="3"/>
        <v>0</v>
      </c>
      <c r="CC19" s="98">
        <f t="shared" si="3"/>
        <v>0</v>
      </c>
      <c r="CD19" s="98">
        <f t="shared" si="3"/>
        <v>0</v>
      </c>
      <c r="CE19" s="98">
        <f t="shared" si="3"/>
        <v>0</v>
      </c>
      <c r="CF19" s="98">
        <f t="shared" si="3"/>
        <v>0</v>
      </c>
      <c r="CG19" s="98">
        <f t="shared" si="3"/>
        <v>0</v>
      </c>
      <c r="CH19" s="98">
        <f t="shared" si="3"/>
        <v>0</v>
      </c>
      <c r="CI19" s="98">
        <f t="shared" si="3"/>
        <v>0</v>
      </c>
      <c r="CJ19" s="98">
        <f t="shared" si="3"/>
        <v>0</v>
      </c>
      <c r="CK19" s="98">
        <f t="shared" si="3"/>
        <v>0</v>
      </c>
      <c r="CL19" s="98">
        <f t="shared" si="3"/>
        <v>0</v>
      </c>
      <c r="CM19" s="98">
        <f t="shared" si="3"/>
        <v>0</v>
      </c>
      <c r="CN19" s="98">
        <f t="shared" si="3"/>
        <v>0</v>
      </c>
      <c r="CO19" s="98">
        <f t="shared" si="3"/>
        <v>0</v>
      </c>
      <c r="CP19" s="98">
        <f t="shared" si="3"/>
        <v>0</v>
      </c>
      <c r="CQ19" s="98">
        <f t="shared" si="3"/>
        <v>0</v>
      </c>
      <c r="CR19" s="98">
        <f t="shared" si="3"/>
        <v>0</v>
      </c>
      <c r="CS19" s="98">
        <f t="shared" si="3"/>
        <v>0</v>
      </c>
      <c r="CT19" s="98">
        <f t="shared" si="3"/>
        <v>0</v>
      </c>
      <c r="CU19" s="98">
        <f t="shared" si="3"/>
        <v>0</v>
      </c>
      <c r="CV19" s="98">
        <f t="shared" si="3"/>
        <v>0</v>
      </c>
      <c r="CW19" s="98">
        <f t="shared" si="3"/>
        <v>0</v>
      </c>
      <c r="CX19" s="98">
        <f t="shared" si="3"/>
        <v>0</v>
      </c>
      <c r="CY19" s="98">
        <f t="shared" si="3"/>
        <v>0</v>
      </c>
    </row>
    <row r="20" spans="1:103" s="96" customFormat="1" ht="24" customHeight="1" x14ac:dyDescent="0.2">
      <c r="A20" s="97">
        <v>13</v>
      </c>
      <c r="B20" s="244" t="s">
        <v>562</v>
      </c>
      <c r="C20" s="245"/>
      <c r="D20" s="98">
        <f t="shared" ref="D20:H20" si="4">(D16)*(D19)</f>
        <v>0</v>
      </c>
      <c r="E20" s="98">
        <f t="shared" si="4"/>
        <v>0</v>
      </c>
      <c r="F20" s="98">
        <f t="shared" si="4"/>
        <v>0</v>
      </c>
      <c r="G20" s="98">
        <f t="shared" si="4"/>
        <v>0</v>
      </c>
      <c r="H20" s="98">
        <f t="shared" si="4"/>
        <v>0</v>
      </c>
      <c r="I20" s="98">
        <f t="shared" ref="I20:N20" si="5">(I16)*(I19)</f>
        <v>0</v>
      </c>
      <c r="J20" s="98">
        <f t="shared" si="5"/>
        <v>0</v>
      </c>
      <c r="K20" s="98">
        <f t="shared" si="5"/>
        <v>0</v>
      </c>
      <c r="L20" s="98">
        <f t="shared" si="5"/>
        <v>0</v>
      </c>
      <c r="M20" s="98">
        <f t="shared" si="5"/>
        <v>0</v>
      </c>
      <c r="N20" s="98">
        <f t="shared" si="5"/>
        <v>0</v>
      </c>
      <c r="O20" s="98">
        <f t="shared" ref="O20:BZ20" si="6">(O16)*(O19)</f>
        <v>0</v>
      </c>
      <c r="P20" s="98">
        <f t="shared" si="6"/>
        <v>0</v>
      </c>
      <c r="Q20" s="98">
        <f t="shared" si="6"/>
        <v>0</v>
      </c>
      <c r="R20" s="98">
        <f t="shared" si="6"/>
        <v>0</v>
      </c>
      <c r="S20" s="98">
        <f t="shared" si="6"/>
        <v>0</v>
      </c>
      <c r="T20" s="98">
        <f t="shared" si="6"/>
        <v>0</v>
      </c>
      <c r="U20" s="98">
        <f t="shared" si="6"/>
        <v>0</v>
      </c>
      <c r="V20" s="98">
        <f t="shared" si="6"/>
        <v>0</v>
      </c>
      <c r="W20" s="98">
        <f t="shared" si="6"/>
        <v>0</v>
      </c>
      <c r="X20" s="98">
        <f t="shared" si="6"/>
        <v>0</v>
      </c>
      <c r="Y20" s="98">
        <f t="shared" si="6"/>
        <v>0</v>
      </c>
      <c r="Z20" s="98">
        <f t="shared" si="6"/>
        <v>0</v>
      </c>
      <c r="AA20" s="98">
        <f t="shared" si="6"/>
        <v>0</v>
      </c>
      <c r="AB20" s="98">
        <f t="shared" si="6"/>
        <v>0</v>
      </c>
      <c r="AC20" s="98">
        <f t="shared" si="6"/>
        <v>0</v>
      </c>
      <c r="AD20" s="98">
        <f t="shared" si="6"/>
        <v>0</v>
      </c>
      <c r="AE20" s="98">
        <f t="shared" si="6"/>
        <v>0</v>
      </c>
      <c r="AF20" s="98">
        <f t="shared" si="6"/>
        <v>0</v>
      </c>
      <c r="AG20" s="98">
        <f t="shared" si="6"/>
        <v>0</v>
      </c>
      <c r="AH20" s="98">
        <f t="shared" si="6"/>
        <v>0</v>
      </c>
      <c r="AI20" s="98">
        <f t="shared" si="6"/>
        <v>0</v>
      </c>
      <c r="AJ20" s="98">
        <f t="shared" si="6"/>
        <v>0</v>
      </c>
      <c r="AK20" s="98">
        <f t="shared" si="6"/>
        <v>0</v>
      </c>
      <c r="AL20" s="98">
        <f t="shared" si="6"/>
        <v>0</v>
      </c>
      <c r="AM20" s="98">
        <f t="shared" si="6"/>
        <v>0</v>
      </c>
      <c r="AN20" s="98">
        <f t="shared" si="6"/>
        <v>0</v>
      </c>
      <c r="AO20" s="98">
        <f t="shared" si="6"/>
        <v>0</v>
      </c>
      <c r="AP20" s="98">
        <f t="shared" si="6"/>
        <v>0</v>
      </c>
      <c r="AQ20" s="98">
        <f t="shared" si="6"/>
        <v>0</v>
      </c>
      <c r="AR20" s="98">
        <f t="shared" si="6"/>
        <v>0</v>
      </c>
      <c r="AS20" s="98">
        <f t="shared" si="6"/>
        <v>0</v>
      </c>
      <c r="AT20" s="98">
        <f t="shared" si="6"/>
        <v>0</v>
      </c>
      <c r="AU20" s="98">
        <f t="shared" si="6"/>
        <v>0</v>
      </c>
      <c r="AV20" s="98">
        <f t="shared" si="6"/>
        <v>0</v>
      </c>
      <c r="AW20" s="98">
        <f t="shared" si="6"/>
        <v>0</v>
      </c>
      <c r="AX20" s="98">
        <f t="shared" si="6"/>
        <v>0</v>
      </c>
      <c r="AY20" s="98">
        <f t="shared" si="6"/>
        <v>0</v>
      </c>
      <c r="AZ20" s="98">
        <f t="shared" si="6"/>
        <v>0</v>
      </c>
      <c r="BA20" s="98">
        <f t="shared" si="6"/>
        <v>0</v>
      </c>
      <c r="BB20" s="98">
        <f t="shared" si="6"/>
        <v>0</v>
      </c>
      <c r="BC20" s="98">
        <f t="shared" si="6"/>
        <v>0</v>
      </c>
      <c r="BD20" s="98">
        <f t="shared" si="6"/>
        <v>0</v>
      </c>
      <c r="BE20" s="98">
        <f t="shared" si="6"/>
        <v>0</v>
      </c>
      <c r="BF20" s="98">
        <f t="shared" si="6"/>
        <v>0</v>
      </c>
      <c r="BG20" s="98">
        <f t="shared" si="6"/>
        <v>0</v>
      </c>
      <c r="BH20" s="98">
        <f t="shared" si="6"/>
        <v>0</v>
      </c>
      <c r="BI20" s="98">
        <f t="shared" si="6"/>
        <v>0</v>
      </c>
      <c r="BJ20" s="98">
        <f t="shared" si="6"/>
        <v>0</v>
      </c>
      <c r="BK20" s="98">
        <f t="shared" si="6"/>
        <v>0</v>
      </c>
      <c r="BL20" s="98">
        <f t="shared" si="6"/>
        <v>0</v>
      </c>
      <c r="BM20" s="98">
        <f t="shared" si="6"/>
        <v>0</v>
      </c>
      <c r="BN20" s="98">
        <f t="shared" si="6"/>
        <v>0</v>
      </c>
      <c r="BO20" s="98">
        <f t="shared" si="6"/>
        <v>0</v>
      </c>
      <c r="BP20" s="98">
        <f t="shared" si="6"/>
        <v>0</v>
      </c>
      <c r="BQ20" s="98">
        <f t="shared" si="6"/>
        <v>0</v>
      </c>
      <c r="BR20" s="98">
        <f t="shared" si="6"/>
        <v>0</v>
      </c>
      <c r="BS20" s="98">
        <f t="shared" si="6"/>
        <v>0</v>
      </c>
      <c r="BT20" s="98">
        <f t="shared" si="6"/>
        <v>0</v>
      </c>
      <c r="BU20" s="98">
        <f t="shared" si="6"/>
        <v>0</v>
      </c>
      <c r="BV20" s="98">
        <f t="shared" si="6"/>
        <v>0</v>
      </c>
      <c r="BW20" s="98">
        <f t="shared" si="6"/>
        <v>0</v>
      </c>
      <c r="BX20" s="98">
        <f t="shared" si="6"/>
        <v>0</v>
      </c>
      <c r="BY20" s="98">
        <f t="shared" si="6"/>
        <v>0</v>
      </c>
      <c r="BZ20" s="98">
        <f t="shared" si="6"/>
        <v>0</v>
      </c>
      <c r="CA20" s="98">
        <f t="shared" ref="CA20:CY20" si="7">(CA16)*(CA19)</f>
        <v>0</v>
      </c>
      <c r="CB20" s="98">
        <f t="shared" si="7"/>
        <v>0</v>
      </c>
      <c r="CC20" s="98">
        <f t="shared" si="7"/>
        <v>0</v>
      </c>
      <c r="CD20" s="98">
        <f t="shared" si="7"/>
        <v>0</v>
      </c>
      <c r="CE20" s="98">
        <f t="shared" si="7"/>
        <v>0</v>
      </c>
      <c r="CF20" s="98">
        <f t="shared" si="7"/>
        <v>0</v>
      </c>
      <c r="CG20" s="98">
        <f t="shared" si="7"/>
        <v>0</v>
      </c>
      <c r="CH20" s="98">
        <f t="shared" si="7"/>
        <v>0</v>
      </c>
      <c r="CI20" s="98">
        <f t="shared" si="7"/>
        <v>0</v>
      </c>
      <c r="CJ20" s="98">
        <f t="shared" si="7"/>
        <v>0</v>
      </c>
      <c r="CK20" s="98">
        <f t="shared" si="7"/>
        <v>0</v>
      </c>
      <c r="CL20" s="98">
        <f t="shared" si="7"/>
        <v>0</v>
      </c>
      <c r="CM20" s="98">
        <f t="shared" si="7"/>
        <v>0</v>
      </c>
      <c r="CN20" s="98">
        <f t="shared" si="7"/>
        <v>0</v>
      </c>
      <c r="CO20" s="98">
        <f t="shared" si="7"/>
        <v>0</v>
      </c>
      <c r="CP20" s="98">
        <f t="shared" si="7"/>
        <v>0</v>
      </c>
      <c r="CQ20" s="98">
        <f t="shared" si="7"/>
        <v>0</v>
      </c>
      <c r="CR20" s="98">
        <f t="shared" si="7"/>
        <v>0</v>
      </c>
      <c r="CS20" s="98">
        <f t="shared" si="7"/>
        <v>0</v>
      </c>
      <c r="CT20" s="98">
        <f t="shared" si="7"/>
        <v>0</v>
      </c>
      <c r="CU20" s="98">
        <f t="shared" si="7"/>
        <v>0</v>
      </c>
      <c r="CV20" s="98">
        <f t="shared" si="7"/>
        <v>0</v>
      </c>
      <c r="CW20" s="98">
        <f t="shared" si="7"/>
        <v>0</v>
      </c>
      <c r="CX20" s="98">
        <f t="shared" si="7"/>
        <v>0</v>
      </c>
      <c r="CY20" s="98">
        <f t="shared" si="7"/>
        <v>0</v>
      </c>
    </row>
    <row r="21" spans="1:103" s="165" customFormat="1" ht="24" customHeight="1" x14ac:dyDescent="0.2">
      <c r="A21" s="166">
        <v>14</v>
      </c>
      <c r="B21" s="236" t="s">
        <v>563</v>
      </c>
      <c r="C21" s="23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</row>
    <row r="22" spans="1:103" s="96" customFormat="1" ht="24" customHeight="1" x14ac:dyDescent="0.2">
      <c r="A22" s="97">
        <v>15</v>
      </c>
      <c r="B22" s="244" t="s">
        <v>564</v>
      </c>
      <c r="C22" s="245"/>
      <c r="D22" s="98">
        <f t="shared" ref="D22:H22" si="8">(D17)*(D21)</f>
        <v>0</v>
      </c>
      <c r="E22" s="98">
        <f t="shared" si="8"/>
        <v>0</v>
      </c>
      <c r="F22" s="98">
        <f t="shared" si="8"/>
        <v>0</v>
      </c>
      <c r="G22" s="98">
        <f t="shared" si="8"/>
        <v>0</v>
      </c>
      <c r="H22" s="98">
        <f t="shared" si="8"/>
        <v>0</v>
      </c>
      <c r="I22" s="98">
        <f t="shared" ref="I22:N22" si="9">(I17)*(I21)</f>
        <v>0</v>
      </c>
      <c r="J22" s="98">
        <f t="shared" si="9"/>
        <v>0</v>
      </c>
      <c r="K22" s="98">
        <f t="shared" si="9"/>
        <v>0</v>
      </c>
      <c r="L22" s="98">
        <f t="shared" si="9"/>
        <v>0</v>
      </c>
      <c r="M22" s="98">
        <f t="shared" si="9"/>
        <v>0</v>
      </c>
      <c r="N22" s="98">
        <f t="shared" si="9"/>
        <v>0</v>
      </c>
      <c r="O22" s="98">
        <f t="shared" ref="O22:BZ22" si="10">(O17)*(O21)</f>
        <v>0</v>
      </c>
      <c r="P22" s="98">
        <f t="shared" si="10"/>
        <v>0</v>
      </c>
      <c r="Q22" s="98">
        <f t="shared" si="10"/>
        <v>0</v>
      </c>
      <c r="R22" s="98">
        <f t="shared" si="10"/>
        <v>0</v>
      </c>
      <c r="S22" s="98">
        <f t="shared" si="10"/>
        <v>0</v>
      </c>
      <c r="T22" s="98">
        <f t="shared" si="10"/>
        <v>0</v>
      </c>
      <c r="U22" s="98">
        <f t="shared" si="10"/>
        <v>0</v>
      </c>
      <c r="V22" s="98">
        <f t="shared" si="10"/>
        <v>0</v>
      </c>
      <c r="W22" s="98">
        <f t="shared" si="10"/>
        <v>0</v>
      </c>
      <c r="X22" s="98">
        <f t="shared" si="10"/>
        <v>0</v>
      </c>
      <c r="Y22" s="98">
        <f t="shared" si="10"/>
        <v>0</v>
      </c>
      <c r="Z22" s="98">
        <f t="shared" si="10"/>
        <v>0</v>
      </c>
      <c r="AA22" s="98">
        <f t="shared" si="10"/>
        <v>0</v>
      </c>
      <c r="AB22" s="98">
        <f t="shared" si="10"/>
        <v>0</v>
      </c>
      <c r="AC22" s="98">
        <f t="shared" si="10"/>
        <v>0</v>
      </c>
      <c r="AD22" s="98">
        <f t="shared" si="10"/>
        <v>0</v>
      </c>
      <c r="AE22" s="98">
        <f t="shared" si="10"/>
        <v>0</v>
      </c>
      <c r="AF22" s="98">
        <f t="shared" si="10"/>
        <v>0</v>
      </c>
      <c r="AG22" s="98">
        <f t="shared" si="10"/>
        <v>0</v>
      </c>
      <c r="AH22" s="98">
        <f t="shared" si="10"/>
        <v>0</v>
      </c>
      <c r="AI22" s="98">
        <f t="shared" si="10"/>
        <v>0</v>
      </c>
      <c r="AJ22" s="98">
        <f t="shared" si="10"/>
        <v>0</v>
      </c>
      <c r="AK22" s="98">
        <f t="shared" si="10"/>
        <v>0</v>
      </c>
      <c r="AL22" s="98">
        <f t="shared" si="10"/>
        <v>0</v>
      </c>
      <c r="AM22" s="98">
        <f t="shared" si="10"/>
        <v>0</v>
      </c>
      <c r="AN22" s="98">
        <f t="shared" si="10"/>
        <v>0</v>
      </c>
      <c r="AO22" s="98">
        <f t="shared" si="10"/>
        <v>0</v>
      </c>
      <c r="AP22" s="98">
        <f t="shared" si="10"/>
        <v>0</v>
      </c>
      <c r="AQ22" s="98">
        <f t="shared" si="10"/>
        <v>0</v>
      </c>
      <c r="AR22" s="98">
        <f t="shared" si="10"/>
        <v>0</v>
      </c>
      <c r="AS22" s="98">
        <f t="shared" si="10"/>
        <v>0</v>
      </c>
      <c r="AT22" s="98">
        <f t="shared" si="10"/>
        <v>0</v>
      </c>
      <c r="AU22" s="98">
        <f t="shared" si="10"/>
        <v>0</v>
      </c>
      <c r="AV22" s="98">
        <f t="shared" si="10"/>
        <v>0</v>
      </c>
      <c r="AW22" s="98">
        <f t="shared" si="10"/>
        <v>0</v>
      </c>
      <c r="AX22" s="98">
        <f t="shared" si="10"/>
        <v>0</v>
      </c>
      <c r="AY22" s="98">
        <f t="shared" si="10"/>
        <v>0</v>
      </c>
      <c r="AZ22" s="98">
        <f t="shared" si="10"/>
        <v>0</v>
      </c>
      <c r="BA22" s="98">
        <f t="shared" si="10"/>
        <v>0</v>
      </c>
      <c r="BB22" s="98">
        <f t="shared" si="10"/>
        <v>0</v>
      </c>
      <c r="BC22" s="98">
        <f t="shared" si="10"/>
        <v>0</v>
      </c>
      <c r="BD22" s="98">
        <f t="shared" si="10"/>
        <v>0</v>
      </c>
      <c r="BE22" s="98">
        <f t="shared" si="10"/>
        <v>0</v>
      </c>
      <c r="BF22" s="98">
        <f t="shared" si="10"/>
        <v>0</v>
      </c>
      <c r="BG22" s="98">
        <f t="shared" si="10"/>
        <v>0</v>
      </c>
      <c r="BH22" s="98">
        <f t="shared" si="10"/>
        <v>0</v>
      </c>
      <c r="BI22" s="98">
        <f t="shared" si="10"/>
        <v>0</v>
      </c>
      <c r="BJ22" s="98">
        <f t="shared" si="10"/>
        <v>0</v>
      </c>
      <c r="BK22" s="98">
        <f t="shared" si="10"/>
        <v>0</v>
      </c>
      <c r="BL22" s="98">
        <f t="shared" si="10"/>
        <v>0</v>
      </c>
      <c r="BM22" s="98">
        <f t="shared" si="10"/>
        <v>0</v>
      </c>
      <c r="BN22" s="98">
        <f t="shared" si="10"/>
        <v>0</v>
      </c>
      <c r="BO22" s="98">
        <f t="shared" si="10"/>
        <v>0</v>
      </c>
      <c r="BP22" s="98">
        <f t="shared" si="10"/>
        <v>0</v>
      </c>
      <c r="BQ22" s="98">
        <f t="shared" si="10"/>
        <v>0</v>
      </c>
      <c r="BR22" s="98">
        <f t="shared" si="10"/>
        <v>0</v>
      </c>
      <c r="BS22" s="98">
        <f t="shared" si="10"/>
        <v>0</v>
      </c>
      <c r="BT22" s="98">
        <f t="shared" si="10"/>
        <v>0</v>
      </c>
      <c r="BU22" s="98">
        <f t="shared" si="10"/>
        <v>0</v>
      </c>
      <c r="BV22" s="98">
        <f t="shared" si="10"/>
        <v>0</v>
      </c>
      <c r="BW22" s="98">
        <f t="shared" si="10"/>
        <v>0</v>
      </c>
      <c r="BX22" s="98">
        <f t="shared" si="10"/>
        <v>0</v>
      </c>
      <c r="BY22" s="98">
        <f t="shared" si="10"/>
        <v>0</v>
      </c>
      <c r="BZ22" s="98">
        <f t="shared" si="10"/>
        <v>0</v>
      </c>
      <c r="CA22" s="98">
        <f t="shared" ref="CA22:CY22" si="11">(CA17)*(CA21)</f>
        <v>0</v>
      </c>
      <c r="CB22" s="98">
        <f t="shared" si="11"/>
        <v>0</v>
      </c>
      <c r="CC22" s="98">
        <f t="shared" si="11"/>
        <v>0</v>
      </c>
      <c r="CD22" s="98">
        <f t="shared" si="11"/>
        <v>0</v>
      </c>
      <c r="CE22" s="98">
        <f t="shared" si="11"/>
        <v>0</v>
      </c>
      <c r="CF22" s="98">
        <f t="shared" si="11"/>
        <v>0</v>
      </c>
      <c r="CG22" s="98">
        <f t="shared" si="11"/>
        <v>0</v>
      </c>
      <c r="CH22" s="98">
        <f t="shared" si="11"/>
        <v>0</v>
      </c>
      <c r="CI22" s="98">
        <f t="shared" si="11"/>
        <v>0</v>
      </c>
      <c r="CJ22" s="98">
        <f t="shared" si="11"/>
        <v>0</v>
      </c>
      <c r="CK22" s="98">
        <f t="shared" si="11"/>
        <v>0</v>
      </c>
      <c r="CL22" s="98">
        <f t="shared" si="11"/>
        <v>0</v>
      </c>
      <c r="CM22" s="98">
        <f t="shared" si="11"/>
        <v>0</v>
      </c>
      <c r="CN22" s="98">
        <f t="shared" si="11"/>
        <v>0</v>
      </c>
      <c r="CO22" s="98">
        <f t="shared" si="11"/>
        <v>0</v>
      </c>
      <c r="CP22" s="98">
        <f t="shared" si="11"/>
        <v>0</v>
      </c>
      <c r="CQ22" s="98">
        <f t="shared" si="11"/>
        <v>0</v>
      </c>
      <c r="CR22" s="98">
        <f t="shared" si="11"/>
        <v>0</v>
      </c>
      <c r="CS22" s="98">
        <f t="shared" si="11"/>
        <v>0</v>
      </c>
      <c r="CT22" s="98">
        <f t="shared" si="11"/>
        <v>0</v>
      </c>
      <c r="CU22" s="98">
        <f t="shared" si="11"/>
        <v>0</v>
      </c>
      <c r="CV22" s="98">
        <f t="shared" si="11"/>
        <v>0</v>
      </c>
      <c r="CW22" s="98">
        <f t="shared" si="11"/>
        <v>0</v>
      </c>
      <c r="CX22" s="98">
        <f t="shared" si="11"/>
        <v>0</v>
      </c>
      <c r="CY22" s="98">
        <f t="shared" si="11"/>
        <v>0</v>
      </c>
    </row>
    <row r="23" spans="1:103" s="96" customFormat="1" ht="24" customHeight="1" x14ac:dyDescent="0.2">
      <c r="A23" s="97">
        <v>16</v>
      </c>
      <c r="B23" s="244" t="s">
        <v>565</v>
      </c>
      <c r="C23" s="245"/>
      <c r="D23" s="98">
        <f t="shared" ref="D23:H23" si="12">(D16)*(D22)</f>
        <v>0</v>
      </c>
      <c r="E23" s="98">
        <f t="shared" si="12"/>
        <v>0</v>
      </c>
      <c r="F23" s="98">
        <f t="shared" si="12"/>
        <v>0</v>
      </c>
      <c r="G23" s="98">
        <f t="shared" si="12"/>
        <v>0</v>
      </c>
      <c r="H23" s="98">
        <f t="shared" si="12"/>
        <v>0</v>
      </c>
      <c r="I23" s="98">
        <f t="shared" ref="I23:N23" si="13">(I16)*(I22)</f>
        <v>0</v>
      </c>
      <c r="J23" s="98">
        <f t="shared" si="13"/>
        <v>0</v>
      </c>
      <c r="K23" s="98">
        <f t="shared" si="13"/>
        <v>0</v>
      </c>
      <c r="L23" s="98">
        <f t="shared" si="13"/>
        <v>0</v>
      </c>
      <c r="M23" s="98">
        <f t="shared" si="13"/>
        <v>0</v>
      </c>
      <c r="N23" s="98">
        <f t="shared" si="13"/>
        <v>0</v>
      </c>
      <c r="O23" s="98">
        <f t="shared" ref="O23:BZ23" si="14">(O16)*(O22)</f>
        <v>0</v>
      </c>
      <c r="P23" s="98">
        <f t="shared" si="14"/>
        <v>0</v>
      </c>
      <c r="Q23" s="98">
        <f t="shared" si="14"/>
        <v>0</v>
      </c>
      <c r="R23" s="98">
        <f t="shared" si="14"/>
        <v>0</v>
      </c>
      <c r="S23" s="98">
        <f t="shared" si="14"/>
        <v>0</v>
      </c>
      <c r="T23" s="98">
        <f t="shared" si="14"/>
        <v>0</v>
      </c>
      <c r="U23" s="98">
        <f t="shared" si="14"/>
        <v>0</v>
      </c>
      <c r="V23" s="98">
        <f t="shared" si="14"/>
        <v>0</v>
      </c>
      <c r="W23" s="98">
        <f t="shared" si="14"/>
        <v>0</v>
      </c>
      <c r="X23" s="98">
        <f t="shared" si="14"/>
        <v>0</v>
      </c>
      <c r="Y23" s="98">
        <f t="shared" si="14"/>
        <v>0</v>
      </c>
      <c r="Z23" s="98">
        <f t="shared" si="14"/>
        <v>0</v>
      </c>
      <c r="AA23" s="98">
        <f t="shared" si="14"/>
        <v>0</v>
      </c>
      <c r="AB23" s="98">
        <f t="shared" si="14"/>
        <v>0</v>
      </c>
      <c r="AC23" s="98">
        <f t="shared" si="14"/>
        <v>0</v>
      </c>
      <c r="AD23" s="98">
        <f t="shared" si="14"/>
        <v>0</v>
      </c>
      <c r="AE23" s="98">
        <f t="shared" si="14"/>
        <v>0</v>
      </c>
      <c r="AF23" s="98">
        <f t="shared" si="14"/>
        <v>0</v>
      </c>
      <c r="AG23" s="98">
        <f t="shared" si="14"/>
        <v>0</v>
      </c>
      <c r="AH23" s="98">
        <f t="shared" si="14"/>
        <v>0</v>
      </c>
      <c r="AI23" s="98">
        <f t="shared" si="14"/>
        <v>0</v>
      </c>
      <c r="AJ23" s="98">
        <f t="shared" si="14"/>
        <v>0</v>
      </c>
      <c r="AK23" s="98">
        <f t="shared" si="14"/>
        <v>0</v>
      </c>
      <c r="AL23" s="98">
        <f t="shared" si="14"/>
        <v>0</v>
      </c>
      <c r="AM23" s="98">
        <f t="shared" si="14"/>
        <v>0</v>
      </c>
      <c r="AN23" s="98">
        <f t="shared" si="14"/>
        <v>0</v>
      </c>
      <c r="AO23" s="98">
        <f t="shared" si="14"/>
        <v>0</v>
      </c>
      <c r="AP23" s="98">
        <f t="shared" si="14"/>
        <v>0</v>
      </c>
      <c r="AQ23" s="98">
        <f t="shared" si="14"/>
        <v>0</v>
      </c>
      <c r="AR23" s="98">
        <f t="shared" si="14"/>
        <v>0</v>
      </c>
      <c r="AS23" s="98">
        <f t="shared" si="14"/>
        <v>0</v>
      </c>
      <c r="AT23" s="98">
        <f t="shared" si="14"/>
        <v>0</v>
      </c>
      <c r="AU23" s="98">
        <f t="shared" si="14"/>
        <v>0</v>
      </c>
      <c r="AV23" s="98">
        <f t="shared" si="14"/>
        <v>0</v>
      </c>
      <c r="AW23" s="98">
        <f t="shared" si="14"/>
        <v>0</v>
      </c>
      <c r="AX23" s="98">
        <f t="shared" si="14"/>
        <v>0</v>
      </c>
      <c r="AY23" s="98">
        <f t="shared" si="14"/>
        <v>0</v>
      </c>
      <c r="AZ23" s="98">
        <f t="shared" si="14"/>
        <v>0</v>
      </c>
      <c r="BA23" s="98">
        <f t="shared" si="14"/>
        <v>0</v>
      </c>
      <c r="BB23" s="98">
        <f t="shared" si="14"/>
        <v>0</v>
      </c>
      <c r="BC23" s="98">
        <f t="shared" si="14"/>
        <v>0</v>
      </c>
      <c r="BD23" s="98">
        <f t="shared" si="14"/>
        <v>0</v>
      </c>
      <c r="BE23" s="98">
        <f t="shared" si="14"/>
        <v>0</v>
      </c>
      <c r="BF23" s="98">
        <f t="shared" si="14"/>
        <v>0</v>
      </c>
      <c r="BG23" s="98">
        <f t="shared" si="14"/>
        <v>0</v>
      </c>
      <c r="BH23" s="98">
        <f t="shared" si="14"/>
        <v>0</v>
      </c>
      <c r="BI23" s="98">
        <f t="shared" si="14"/>
        <v>0</v>
      </c>
      <c r="BJ23" s="98">
        <f t="shared" si="14"/>
        <v>0</v>
      </c>
      <c r="BK23" s="98">
        <f t="shared" si="14"/>
        <v>0</v>
      </c>
      <c r="BL23" s="98">
        <f t="shared" si="14"/>
        <v>0</v>
      </c>
      <c r="BM23" s="98">
        <f t="shared" si="14"/>
        <v>0</v>
      </c>
      <c r="BN23" s="98">
        <f t="shared" si="14"/>
        <v>0</v>
      </c>
      <c r="BO23" s="98">
        <f t="shared" si="14"/>
        <v>0</v>
      </c>
      <c r="BP23" s="98">
        <f t="shared" si="14"/>
        <v>0</v>
      </c>
      <c r="BQ23" s="98">
        <f t="shared" si="14"/>
        <v>0</v>
      </c>
      <c r="BR23" s="98">
        <f t="shared" si="14"/>
        <v>0</v>
      </c>
      <c r="BS23" s="98">
        <f t="shared" si="14"/>
        <v>0</v>
      </c>
      <c r="BT23" s="98">
        <f t="shared" si="14"/>
        <v>0</v>
      </c>
      <c r="BU23" s="98">
        <f t="shared" si="14"/>
        <v>0</v>
      </c>
      <c r="BV23" s="98">
        <f t="shared" si="14"/>
        <v>0</v>
      </c>
      <c r="BW23" s="98">
        <f t="shared" si="14"/>
        <v>0</v>
      </c>
      <c r="BX23" s="98">
        <f t="shared" si="14"/>
        <v>0</v>
      </c>
      <c r="BY23" s="98">
        <f t="shared" si="14"/>
        <v>0</v>
      </c>
      <c r="BZ23" s="98">
        <f t="shared" si="14"/>
        <v>0</v>
      </c>
      <c r="CA23" s="98">
        <f t="shared" ref="CA23:CY23" si="15">(CA16)*(CA22)</f>
        <v>0</v>
      </c>
      <c r="CB23" s="98">
        <f t="shared" si="15"/>
        <v>0</v>
      </c>
      <c r="CC23" s="98">
        <f t="shared" si="15"/>
        <v>0</v>
      </c>
      <c r="CD23" s="98">
        <f t="shared" si="15"/>
        <v>0</v>
      </c>
      <c r="CE23" s="98">
        <f t="shared" si="15"/>
        <v>0</v>
      </c>
      <c r="CF23" s="98">
        <f t="shared" si="15"/>
        <v>0</v>
      </c>
      <c r="CG23" s="98">
        <f t="shared" si="15"/>
        <v>0</v>
      </c>
      <c r="CH23" s="98">
        <f t="shared" si="15"/>
        <v>0</v>
      </c>
      <c r="CI23" s="98">
        <f t="shared" si="15"/>
        <v>0</v>
      </c>
      <c r="CJ23" s="98">
        <f t="shared" si="15"/>
        <v>0</v>
      </c>
      <c r="CK23" s="98">
        <f t="shared" si="15"/>
        <v>0</v>
      </c>
      <c r="CL23" s="98">
        <f t="shared" si="15"/>
        <v>0</v>
      </c>
      <c r="CM23" s="98">
        <f t="shared" si="15"/>
        <v>0</v>
      </c>
      <c r="CN23" s="98">
        <f t="shared" si="15"/>
        <v>0</v>
      </c>
      <c r="CO23" s="98">
        <f t="shared" si="15"/>
        <v>0</v>
      </c>
      <c r="CP23" s="98">
        <f t="shared" si="15"/>
        <v>0</v>
      </c>
      <c r="CQ23" s="98">
        <f t="shared" si="15"/>
        <v>0</v>
      </c>
      <c r="CR23" s="98">
        <f t="shared" si="15"/>
        <v>0</v>
      </c>
      <c r="CS23" s="98">
        <f t="shared" si="15"/>
        <v>0</v>
      </c>
      <c r="CT23" s="98">
        <f t="shared" si="15"/>
        <v>0</v>
      </c>
      <c r="CU23" s="98">
        <f t="shared" si="15"/>
        <v>0</v>
      </c>
      <c r="CV23" s="98">
        <f t="shared" si="15"/>
        <v>0</v>
      </c>
      <c r="CW23" s="98">
        <f t="shared" si="15"/>
        <v>0</v>
      </c>
      <c r="CX23" s="98">
        <f t="shared" si="15"/>
        <v>0</v>
      </c>
      <c r="CY23" s="98">
        <f t="shared" si="15"/>
        <v>0</v>
      </c>
    </row>
    <row r="24" spans="1:103" s="165" customFormat="1" ht="24" customHeight="1" x14ac:dyDescent="0.2">
      <c r="A24" s="166">
        <v>17</v>
      </c>
      <c r="B24" s="236" t="s">
        <v>566</v>
      </c>
      <c r="C24" s="23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</row>
    <row r="25" spans="1:103" s="165" customFormat="1" ht="24" customHeight="1" x14ac:dyDescent="0.2">
      <c r="A25" s="166">
        <v>18</v>
      </c>
      <c r="B25" s="236" t="s">
        <v>567</v>
      </c>
      <c r="C25" s="23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</row>
    <row r="26" spans="1:103" s="96" customFormat="1" ht="24" customHeight="1" x14ac:dyDescent="0.2">
      <c r="A26" s="97">
        <v>19</v>
      </c>
      <c r="B26" s="244" t="s">
        <v>568</v>
      </c>
      <c r="C26" s="245"/>
      <c r="D26" s="98">
        <f t="shared" ref="D26:H26" si="16">(D16)*(D25)</f>
        <v>0</v>
      </c>
      <c r="E26" s="98">
        <f t="shared" si="16"/>
        <v>0</v>
      </c>
      <c r="F26" s="98">
        <f t="shared" si="16"/>
        <v>0</v>
      </c>
      <c r="G26" s="98">
        <f t="shared" si="16"/>
        <v>0</v>
      </c>
      <c r="H26" s="98">
        <f t="shared" si="16"/>
        <v>0</v>
      </c>
      <c r="I26" s="98">
        <f t="shared" ref="I26:N26" si="17">(I16)*(I25)</f>
        <v>0</v>
      </c>
      <c r="J26" s="98">
        <f t="shared" si="17"/>
        <v>0</v>
      </c>
      <c r="K26" s="98">
        <f t="shared" si="17"/>
        <v>0</v>
      </c>
      <c r="L26" s="98">
        <f t="shared" si="17"/>
        <v>0</v>
      </c>
      <c r="M26" s="98">
        <f t="shared" si="17"/>
        <v>0</v>
      </c>
      <c r="N26" s="98">
        <f t="shared" si="17"/>
        <v>0</v>
      </c>
      <c r="O26" s="98">
        <f t="shared" ref="O26:BZ26" si="18">(O16)*(O25)</f>
        <v>0</v>
      </c>
      <c r="P26" s="98">
        <f t="shared" si="18"/>
        <v>0</v>
      </c>
      <c r="Q26" s="98">
        <f t="shared" si="18"/>
        <v>0</v>
      </c>
      <c r="R26" s="98">
        <f t="shared" si="18"/>
        <v>0</v>
      </c>
      <c r="S26" s="98">
        <f t="shared" si="18"/>
        <v>0</v>
      </c>
      <c r="T26" s="98">
        <f t="shared" si="18"/>
        <v>0</v>
      </c>
      <c r="U26" s="98">
        <f t="shared" si="18"/>
        <v>0</v>
      </c>
      <c r="V26" s="98">
        <f t="shared" si="18"/>
        <v>0</v>
      </c>
      <c r="W26" s="98">
        <f t="shared" si="18"/>
        <v>0</v>
      </c>
      <c r="X26" s="98">
        <f t="shared" si="18"/>
        <v>0</v>
      </c>
      <c r="Y26" s="98">
        <f t="shared" si="18"/>
        <v>0</v>
      </c>
      <c r="Z26" s="98">
        <f t="shared" si="18"/>
        <v>0</v>
      </c>
      <c r="AA26" s="98">
        <f t="shared" si="18"/>
        <v>0</v>
      </c>
      <c r="AB26" s="98">
        <f t="shared" si="18"/>
        <v>0</v>
      </c>
      <c r="AC26" s="98">
        <f t="shared" si="18"/>
        <v>0</v>
      </c>
      <c r="AD26" s="98">
        <f t="shared" si="18"/>
        <v>0</v>
      </c>
      <c r="AE26" s="98">
        <f t="shared" si="18"/>
        <v>0</v>
      </c>
      <c r="AF26" s="98">
        <f t="shared" si="18"/>
        <v>0</v>
      </c>
      <c r="AG26" s="98">
        <f t="shared" si="18"/>
        <v>0</v>
      </c>
      <c r="AH26" s="98">
        <f t="shared" si="18"/>
        <v>0</v>
      </c>
      <c r="AI26" s="98">
        <f t="shared" si="18"/>
        <v>0</v>
      </c>
      <c r="AJ26" s="98">
        <f t="shared" si="18"/>
        <v>0</v>
      </c>
      <c r="AK26" s="98">
        <f t="shared" si="18"/>
        <v>0</v>
      </c>
      <c r="AL26" s="98">
        <f t="shared" si="18"/>
        <v>0</v>
      </c>
      <c r="AM26" s="98">
        <f t="shared" si="18"/>
        <v>0</v>
      </c>
      <c r="AN26" s="98">
        <f t="shared" si="18"/>
        <v>0</v>
      </c>
      <c r="AO26" s="98">
        <f t="shared" si="18"/>
        <v>0</v>
      </c>
      <c r="AP26" s="98">
        <f t="shared" si="18"/>
        <v>0</v>
      </c>
      <c r="AQ26" s="98">
        <f t="shared" si="18"/>
        <v>0</v>
      </c>
      <c r="AR26" s="98">
        <f t="shared" si="18"/>
        <v>0</v>
      </c>
      <c r="AS26" s="98">
        <f t="shared" si="18"/>
        <v>0</v>
      </c>
      <c r="AT26" s="98">
        <f t="shared" si="18"/>
        <v>0</v>
      </c>
      <c r="AU26" s="98">
        <f t="shared" si="18"/>
        <v>0</v>
      </c>
      <c r="AV26" s="98">
        <f t="shared" si="18"/>
        <v>0</v>
      </c>
      <c r="AW26" s="98">
        <f t="shared" si="18"/>
        <v>0</v>
      </c>
      <c r="AX26" s="98">
        <f t="shared" si="18"/>
        <v>0</v>
      </c>
      <c r="AY26" s="98">
        <f t="shared" si="18"/>
        <v>0</v>
      </c>
      <c r="AZ26" s="98">
        <f t="shared" si="18"/>
        <v>0</v>
      </c>
      <c r="BA26" s="98">
        <f t="shared" si="18"/>
        <v>0</v>
      </c>
      <c r="BB26" s="98">
        <f t="shared" si="18"/>
        <v>0</v>
      </c>
      <c r="BC26" s="98">
        <f t="shared" si="18"/>
        <v>0</v>
      </c>
      <c r="BD26" s="98">
        <f t="shared" si="18"/>
        <v>0</v>
      </c>
      <c r="BE26" s="98">
        <f t="shared" si="18"/>
        <v>0</v>
      </c>
      <c r="BF26" s="98">
        <f t="shared" si="18"/>
        <v>0</v>
      </c>
      <c r="BG26" s="98">
        <f t="shared" si="18"/>
        <v>0</v>
      </c>
      <c r="BH26" s="98">
        <f t="shared" si="18"/>
        <v>0</v>
      </c>
      <c r="BI26" s="98">
        <f t="shared" si="18"/>
        <v>0</v>
      </c>
      <c r="BJ26" s="98">
        <f t="shared" si="18"/>
        <v>0</v>
      </c>
      <c r="BK26" s="98">
        <f t="shared" si="18"/>
        <v>0</v>
      </c>
      <c r="BL26" s="98">
        <f t="shared" si="18"/>
        <v>0</v>
      </c>
      <c r="BM26" s="98">
        <f t="shared" si="18"/>
        <v>0</v>
      </c>
      <c r="BN26" s="98">
        <f t="shared" si="18"/>
        <v>0</v>
      </c>
      <c r="BO26" s="98">
        <f t="shared" si="18"/>
        <v>0</v>
      </c>
      <c r="BP26" s="98">
        <f t="shared" si="18"/>
        <v>0</v>
      </c>
      <c r="BQ26" s="98">
        <f t="shared" si="18"/>
        <v>0</v>
      </c>
      <c r="BR26" s="98">
        <f t="shared" si="18"/>
        <v>0</v>
      </c>
      <c r="BS26" s="98">
        <f t="shared" si="18"/>
        <v>0</v>
      </c>
      <c r="BT26" s="98">
        <f t="shared" si="18"/>
        <v>0</v>
      </c>
      <c r="BU26" s="98">
        <f t="shared" si="18"/>
        <v>0</v>
      </c>
      <c r="BV26" s="98">
        <f t="shared" si="18"/>
        <v>0</v>
      </c>
      <c r="BW26" s="98">
        <f t="shared" si="18"/>
        <v>0</v>
      </c>
      <c r="BX26" s="98">
        <f t="shared" si="18"/>
        <v>0</v>
      </c>
      <c r="BY26" s="98">
        <f t="shared" si="18"/>
        <v>0</v>
      </c>
      <c r="BZ26" s="98">
        <f t="shared" si="18"/>
        <v>0</v>
      </c>
      <c r="CA26" s="98">
        <f t="shared" ref="CA26:CY26" si="19">(CA16)*(CA25)</f>
        <v>0</v>
      </c>
      <c r="CB26" s="98">
        <f t="shared" si="19"/>
        <v>0</v>
      </c>
      <c r="CC26" s="98">
        <f t="shared" si="19"/>
        <v>0</v>
      </c>
      <c r="CD26" s="98">
        <f t="shared" si="19"/>
        <v>0</v>
      </c>
      <c r="CE26" s="98">
        <f t="shared" si="19"/>
        <v>0</v>
      </c>
      <c r="CF26" s="98">
        <f t="shared" si="19"/>
        <v>0</v>
      </c>
      <c r="CG26" s="98">
        <f t="shared" si="19"/>
        <v>0</v>
      </c>
      <c r="CH26" s="98">
        <f t="shared" si="19"/>
        <v>0</v>
      </c>
      <c r="CI26" s="98">
        <f t="shared" si="19"/>
        <v>0</v>
      </c>
      <c r="CJ26" s="98">
        <f t="shared" si="19"/>
        <v>0</v>
      </c>
      <c r="CK26" s="98">
        <f t="shared" si="19"/>
        <v>0</v>
      </c>
      <c r="CL26" s="98">
        <f t="shared" si="19"/>
        <v>0</v>
      </c>
      <c r="CM26" s="98">
        <f t="shared" si="19"/>
        <v>0</v>
      </c>
      <c r="CN26" s="98">
        <f t="shared" si="19"/>
        <v>0</v>
      </c>
      <c r="CO26" s="98">
        <f t="shared" si="19"/>
        <v>0</v>
      </c>
      <c r="CP26" s="98">
        <f t="shared" si="19"/>
        <v>0</v>
      </c>
      <c r="CQ26" s="98">
        <f t="shared" si="19"/>
        <v>0</v>
      </c>
      <c r="CR26" s="98">
        <f t="shared" si="19"/>
        <v>0</v>
      </c>
      <c r="CS26" s="98">
        <f t="shared" si="19"/>
        <v>0</v>
      </c>
      <c r="CT26" s="98">
        <f t="shared" si="19"/>
        <v>0</v>
      </c>
      <c r="CU26" s="98">
        <f t="shared" si="19"/>
        <v>0</v>
      </c>
      <c r="CV26" s="98">
        <f t="shared" si="19"/>
        <v>0</v>
      </c>
      <c r="CW26" s="98">
        <f t="shared" si="19"/>
        <v>0</v>
      </c>
      <c r="CX26" s="98">
        <f t="shared" si="19"/>
        <v>0</v>
      </c>
      <c r="CY26" s="98">
        <f t="shared" si="19"/>
        <v>0</v>
      </c>
    </row>
    <row r="27" spans="1:103" s="169" customFormat="1" ht="20.25" customHeight="1" x14ac:dyDescent="0.2">
      <c r="A27" s="166">
        <v>20</v>
      </c>
      <c r="B27" s="236" t="s">
        <v>569</v>
      </c>
      <c r="C27" s="237"/>
      <c r="D27" s="47"/>
      <c r="E27" s="47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</row>
    <row r="28" spans="1:103" s="172" customFormat="1" ht="24" customHeight="1" x14ac:dyDescent="0.2">
      <c r="A28" s="166">
        <v>21</v>
      </c>
      <c r="B28" s="170" t="s">
        <v>570</v>
      </c>
      <c r="C28" s="171"/>
      <c r="D28" s="47"/>
      <c r="E28" s="47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</row>
    <row r="29" spans="1:103" s="172" customFormat="1" ht="24" customHeight="1" x14ac:dyDescent="0.2">
      <c r="A29" s="166">
        <v>22</v>
      </c>
      <c r="B29" s="170" t="s">
        <v>571</v>
      </c>
      <c r="C29" s="171"/>
      <c r="D29" s="47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</row>
    <row r="30" spans="1:103" s="172" customFormat="1" ht="24" customHeight="1" x14ac:dyDescent="0.2">
      <c r="A30" s="166">
        <v>23</v>
      </c>
      <c r="B30" s="236" t="s">
        <v>572</v>
      </c>
      <c r="C30" s="237"/>
      <c r="D30" s="47"/>
      <c r="E30" s="47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</row>
    <row r="31" spans="1:103" s="41" customFormat="1" ht="24" customHeight="1" x14ac:dyDescent="0.2">
      <c r="A31" s="99" t="s">
        <v>573</v>
      </c>
      <c r="B31" s="100"/>
      <c r="C31" s="101"/>
      <c r="D31" s="101"/>
      <c r="E31" s="101"/>
      <c r="F31" s="101"/>
      <c r="G31" s="101"/>
      <c r="H31" s="102"/>
      <c r="I31" s="183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  <c r="BB31" s="184"/>
      <c r="BC31" s="184"/>
      <c r="BD31" s="184"/>
      <c r="BE31" s="184"/>
      <c r="BF31" s="184"/>
      <c r="BG31" s="184"/>
      <c r="BH31" s="184"/>
      <c r="BI31" s="184"/>
      <c r="BJ31" s="184"/>
      <c r="BK31" s="184"/>
      <c r="BL31" s="184"/>
      <c r="BM31" s="184"/>
      <c r="BN31" s="184"/>
      <c r="BO31" s="184"/>
      <c r="BP31" s="184"/>
      <c r="BQ31" s="184"/>
      <c r="BR31" s="184"/>
      <c r="BS31" s="184"/>
      <c r="BT31" s="184"/>
      <c r="BU31" s="184"/>
      <c r="BV31" s="184"/>
      <c r="BW31" s="184"/>
      <c r="BX31" s="184"/>
      <c r="BY31" s="184"/>
      <c r="BZ31" s="184"/>
      <c r="CA31" s="184"/>
      <c r="CB31" s="184"/>
      <c r="CC31" s="184"/>
      <c r="CD31" s="184"/>
      <c r="CE31" s="184"/>
      <c r="CF31" s="184"/>
      <c r="CG31" s="184"/>
      <c r="CH31" s="184"/>
      <c r="CI31" s="184"/>
      <c r="CJ31" s="184"/>
      <c r="CK31" s="184"/>
      <c r="CL31" s="184"/>
      <c r="CM31" s="184"/>
      <c r="CN31" s="181"/>
      <c r="CO31" s="38"/>
      <c r="CP31" s="38"/>
      <c r="CQ31" s="38"/>
      <c r="CR31" s="43"/>
      <c r="CS31" s="43"/>
      <c r="CT31" s="43"/>
      <c r="CU31" s="43"/>
      <c r="CV31" s="43"/>
      <c r="CW31" s="43"/>
      <c r="CX31" s="43"/>
      <c r="CY31" s="43"/>
    </row>
    <row r="32" spans="1:103" s="41" customFormat="1" ht="24" customHeight="1" x14ac:dyDescent="0.2">
      <c r="A32" s="103">
        <v>1</v>
      </c>
      <c r="B32" s="104" t="s">
        <v>574</v>
      </c>
      <c r="C32" s="104"/>
      <c r="D32" s="104"/>
      <c r="E32" s="104"/>
      <c r="F32" s="104"/>
      <c r="G32" s="105"/>
      <c r="H32" s="106"/>
      <c r="I32" s="185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  <c r="CG32" s="108"/>
      <c r="CH32" s="108"/>
      <c r="CI32" s="108"/>
      <c r="CJ32" s="108"/>
      <c r="CK32" s="108"/>
      <c r="CL32" s="108"/>
      <c r="CM32" s="108"/>
      <c r="CN32" s="107"/>
      <c r="CO32" s="107"/>
      <c r="CP32" s="108"/>
      <c r="CQ32" s="108"/>
      <c r="CR32" s="107"/>
      <c r="CS32" s="107"/>
      <c r="CT32" s="107"/>
      <c r="CU32" s="107"/>
      <c r="CV32" s="107"/>
      <c r="CW32" s="107"/>
      <c r="CX32" s="107"/>
      <c r="CY32" s="107"/>
    </row>
    <row r="33" spans="1:103" s="41" customFormat="1" ht="24" customHeight="1" x14ac:dyDescent="0.2">
      <c r="A33" s="109">
        <v>2</v>
      </c>
      <c r="B33" s="110" t="s">
        <v>575</v>
      </c>
      <c r="C33" s="110"/>
      <c r="D33" s="110"/>
      <c r="E33" s="110"/>
      <c r="F33" s="110"/>
      <c r="G33" s="111"/>
      <c r="H33" s="112"/>
      <c r="I33" s="185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  <c r="CF33" s="108"/>
      <c r="CG33" s="108"/>
      <c r="CH33" s="108"/>
      <c r="CI33" s="108"/>
      <c r="CJ33" s="108"/>
      <c r="CK33" s="108"/>
      <c r="CL33" s="108"/>
      <c r="CM33" s="108"/>
      <c r="CN33" s="107"/>
      <c r="CO33" s="107"/>
      <c r="CP33" s="108"/>
      <c r="CQ33" s="108"/>
      <c r="CR33" s="107"/>
      <c r="CS33" s="107"/>
      <c r="CT33" s="107"/>
      <c r="CU33" s="107"/>
      <c r="CV33" s="107"/>
      <c r="CW33" s="107"/>
      <c r="CX33" s="107"/>
      <c r="CY33" s="107"/>
    </row>
    <row r="34" spans="1:103" s="41" customFormat="1" ht="24" customHeight="1" x14ac:dyDescent="0.2">
      <c r="A34" s="103">
        <v>3</v>
      </c>
      <c r="B34" s="104" t="s">
        <v>576</v>
      </c>
      <c r="C34" s="104"/>
      <c r="D34" s="104"/>
      <c r="E34" s="104"/>
      <c r="F34" s="104"/>
      <c r="G34" s="105"/>
      <c r="H34" s="106"/>
      <c r="I34" s="185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  <c r="CF34" s="108"/>
      <c r="CG34" s="108"/>
      <c r="CH34" s="108"/>
      <c r="CI34" s="108"/>
      <c r="CJ34" s="108"/>
      <c r="CK34" s="108"/>
      <c r="CL34" s="108"/>
      <c r="CM34" s="108"/>
      <c r="CN34" s="107"/>
      <c r="CO34" s="107"/>
      <c r="CP34" s="108"/>
      <c r="CQ34" s="108"/>
      <c r="CR34" s="107"/>
      <c r="CS34" s="107"/>
      <c r="CT34" s="107"/>
      <c r="CU34" s="107"/>
      <c r="CV34" s="107"/>
      <c r="CW34" s="107"/>
      <c r="CX34" s="107"/>
      <c r="CY34" s="107"/>
    </row>
    <row r="35" spans="1:103" s="41" customFormat="1" ht="24" customHeight="1" x14ac:dyDescent="0.2">
      <c r="A35" s="109">
        <v>4</v>
      </c>
      <c r="B35" s="110" t="s">
        <v>577</v>
      </c>
      <c r="C35" s="110"/>
      <c r="D35" s="110"/>
      <c r="E35" s="110"/>
      <c r="F35" s="110"/>
      <c r="G35" s="111"/>
      <c r="H35" s="112"/>
      <c r="I35" s="185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  <c r="CF35" s="108"/>
      <c r="CG35" s="108"/>
      <c r="CH35" s="108"/>
      <c r="CI35" s="108"/>
      <c r="CJ35" s="108"/>
      <c r="CK35" s="108"/>
      <c r="CL35" s="108"/>
      <c r="CM35" s="108"/>
      <c r="CN35" s="107"/>
      <c r="CO35" s="107"/>
      <c r="CP35" s="108"/>
      <c r="CQ35" s="108"/>
      <c r="CR35" s="107"/>
      <c r="CS35" s="107"/>
      <c r="CT35" s="107"/>
      <c r="CU35" s="107"/>
      <c r="CV35" s="107"/>
      <c r="CW35" s="107"/>
      <c r="CX35" s="107"/>
      <c r="CY35" s="107"/>
    </row>
    <row r="36" spans="1:103" s="41" customFormat="1" ht="24" customHeight="1" x14ac:dyDescent="0.2">
      <c r="A36" s="103">
        <v>5</v>
      </c>
      <c r="B36" s="104" t="s">
        <v>578</v>
      </c>
      <c r="C36" s="104"/>
      <c r="D36" s="104"/>
      <c r="E36" s="104"/>
      <c r="F36" s="104"/>
      <c r="G36" s="105"/>
      <c r="H36" s="106"/>
      <c r="I36" s="185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  <c r="CF36" s="108"/>
      <c r="CG36" s="108"/>
      <c r="CH36" s="108"/>
      <c r="CI36" s="108"/>
      <c r="CJ36" s="108"/>
      <c r="CK36" s="108"/>
      <c r="CL36" s="108"/>
      <c r="CM36" s="108"/>
      <c r="CN36" s="107"/>
      <c r="CO36" s="107"/>
      <c r="CP36" s="108"/>
      <c r="CQ36" s="108"/>
      <c r="CR36" s="107"/>
      <c r="CS36" s="107"/>
      <c r="CT36" s="107"/>
      <c r="CU36" s="107"/>
      <c r="CV36" s="107"/>
      <c r="CW36" s="107"/>
      <c r="CX36" s="107"/>
      <c r="CY36" s="107"/>
    </row>
    <row r="37" spans="1:103" s="41" customFormat="1" ht="24" customHeight="1" x14ac:dyDescent="0.2">
      <c r="A37" s="113">
        <v>6</v>
      </c>
      <c r="B37" s="114" t="s">
        <v>579</v>
      </c>
      <c r="C37" s="114"/>
      <c r="D37" s="114"/>
      <c r="E37" s="114"/>
      <c r="F37" s="114"/>
      <c r="G37" s="115"/>
      <c r="H37" s="116"/>
      <c r="I37" s="185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8"/>
      <c r="BK37" s="108"/>
      <c r="BL37" s="108"/>
      <c r="BM37" s="108"/>
      <c r="BN37" s="108"/>
      <c r="BO37" s="108"/>
      <c r="BP37" s="108"/>
      <c r="BQ37" s="108"/>
      <c r="BR37" s="108"/>
      <c r="BS37" s="108"/>
      <c r="BT37" s="108"/>
      <c r="BU37" s="108"/>
      <c r="BV37" s="108"/>
      <c r="BW37" s="108"/>
      <c r="BX37" s="108"/>
      <c r="BY37" s="108"/>
      <c r="BZ37" s="108"/>
      <c r="CA37" s="108"/>
      <c r="CB37" s="108"/>
      <c r="CC37" s="108"/>
      <c r="CD37" s="108"/>
      <c r="CE37" s="108"/>
      <c r="CF37" s="108"/>
      <c r="CG37" s="108"/>
      <c r="CH37" s="108"/>
      <c r="CI37" s="108"/>
      <c r="CJ37" s="108"/>
      <c r="CK37" s="108"/>
      <c r="CL37" s="108"/>
      <c r="CM37" s="108"/>
      <c r="CN37" s="107"/>
      <c r="CO37" s="107"/>
      <c r="CP37" s="108"/>
      <c r="CQ37" s="108"/>
      <c r="CR37" s="107"/>
      <c r="CS37" s="107"/>
      <c r="CT37" s="107"/>
      <c r="CU37" s="107"/>
      <c r="CV37" s="107"/>
      <c r="CW37" s="107"/>
      <c r="CX37" s="107"/>
      <c r="CY37" s="107"/>
    </row>
    <row r="38" spans="1:103" s="41" customFormat="1" ht="24" customHeight="1" x14ac:dyDescent="0.2">
      <c r="A38" s="117">
        <v>7</v>
      </c>
      <c r="B38" s="118" t="s">
        <v>580</v>
      </c>
      <c r="C38" s="118"/>
      <c r="D38" s="118"/>
      <c r="E38" s="118"/>
      <c r="F38" s="118"/>
      <c r="G38" s="119"/>
      <c r="H38" s="120"/>
      <c r="I38" s="185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  <c r="CF38" s="108"/>
      <c r="CG38" s="108"/>
      <c r="CH38" s="108"/>
      <c r="CI38" s="108"/>
      <c r="CJ38" s="108"/>
      <c r="CK38" s="108"/>
      <c r="CL38" s="108"/>
      <c r="CM38" s="108"/>
      <c r="CN38" s="107"/>
      <c r="CO38" s="107"/>
      <c r="CP38" s="108"/>
      <c r="CQ38" s="108"/>
      <c r="CR38" s="107"/>
      <c r="CS38" s="107"/>
      <c r="CT38" s="107"/>
      <c r="CU38" s="107"/>
      <c r="CV38" s="107"/>
      <c r="CW38" s="107"/>
      <c r="CX38" s="107"/>
      <c r="CY38" s="107"/>
    </row>
    <row r="39" spans="1:103" s="41" customFormat="1" ht="24" customHeight="1" x14ac:dyDescent="0.2">
      <c r="A39" s="113">
        <v>8</v>
      </c>
      <c r="B39" s="114" t="s">
        <v>581</v>
      </c>
      <c r="C39" s="114"/>
      <c r="D39" s="114"/>
      <c r="E39" s="114"/>
      <c r="F39" s="114"/>
      <c r="G39" s="115"/>
      <c r="H39" s="116"/>
      <c r="I39" s="185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BT39" s="108"/>
      <c r="BU39" s="108"/>
      <c r="BV39" s="108"/>
      <c r="BW39" s="108"/>
      <c r="BX39" s="108"/>
      <c r="BY39" s="108"/>
      <c r="BZ39" s="108"/>
      <c r="CA39" s="108"/>
      <c r="CB39" s="108"/>
      <c r="CC39" s="108"/>
      <c r="CD39" s="108"/>
      <c r="CE39" s="108"/>
      <c r="CF39" s="108"/>
      <c r="CG39" s="108"/>
      <c r="CH39" s="108"/>
      <c r="CI39" s="108"/>
      <c r="CJ39" s="108"/>
      <c r="CK39" s="108"/>
      <c r="CL39" s="108"/>
      <c r="CM39" s="108"/>
      <c r="CN39" s="107"/>
      <c r="CO39" s="107"/>
      <c r="CP39" s="108"/>
      <c r="CQ39" s="108"/>
      <c r="CR39" s="107"/>
      <c r="CS39" s="107"/>
      <c r="CT39" s="107"/>
      <c r="CU39" s="107"/>
      <c r="CV39" s="107"/>
      <c r="CW39" s="107"/>
      <c r="CX39" s="107"/>
      <c r="CY39" s="107"/>
    </row>
    <row r="40" spans="1:103" s="41" customFormat="1" ht="24" customHeight="1" x14ac:dyDescent="0.2">
      <c r="A40" s="117">
        <v>9</v>
      </c>
      <c r="B40" s="118" t="s">
        <v>582</v>
      </c>
      <c r="C40" s="118"/>
      <c r="D40" s="118"/>
      <c r="E40" s="118"/>
      <c r="F40" s="118"/>
      <c r="G40" s="119"/>
      <c r="H40" s="120"/>
      <c r="I40" s="185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  <c r="BO40" s="108"/>
      <c r="BP40" s="108"/>
      <c r="BQ40" s="108"/>
      <c r="BR40" s="108"/>
      <c r="BS40" s="108"/>
      <c r="BT40" s="108"/>
      <c r="BU40" s="108"/>
      <c r="BV40" s="108"/>
      <c r="BW40" s="108"/>
      <c r="BX40" s="108"/>
      <c r="BY40" s="108"/>
      <c r="BZ40" s="108"/>
      <c r="CA40" s="108"/>
      <c r="CB40" s="108"/>
      <c r="CC40" s="108"/>
      <c r="CD40" s="108"/>
      <c r="CE40" s="108"/>
      <c r="CF40" s="108"/>
      <c r="CG40" s="108"/>
      <c r="CH40" s="108"/>
      <c r="CI40" s="108"/>
      <c r="CJ40" s="108"/>
      <c r="CK40" s="108"/>
      <c r="CL40" s="108"/>
      <c r="CM40" s="108"/>
      <c r="CN40" s="182"/>
      <c r="CO40" s="107"/>
      <c r="CP40" s="108"/>
      <c r="CQ40" s="108"/>
      <c r="CR40" s="107"/>
      <c r="CS40" s="107"/>
      <c r="CT40" s="107"/>
      <c r="CU40" s="107"/>
      <c r="CV40" s="107"/>
      <c r="CW40" s="107"/>
      <c r="CX40" s="107"/>
      <c r="CY40" s="107"/>
    </row>
    <row r="41" spans="1:103" s="41" customFormat="1" ht="24" customHeight="1" x14ac:dyDescent="0.2">
      <c r="A41" s="113">
        <v>10</v>
      </c>
      <c r="B41" s="114" t="s">
        <v>583</v>
      </c>
      <c r="C41" s="114"/>
      <c r="D41" s="114"/>
      <c r="E41" s="114"/>
      <c r="F41" s="114"/>
      <c r="G41" s="115"/>
      <c r="H41" s="116"/>
      <c r="I41" s="185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  <c r="BH41" s="108"/>
      <c r="BI41" s="108"/>
      <c r="BJ41" s="108"/>
      <c r="BK41" s="108"/>
      <c r="BL41" s="108"/>
      <c r="BM41" s="108"/>
      <c r="BN41" s="108"/>
      <c r="BO41" s="108"/>
      <c r="BP41" s="108"/>
      <c r="BQ41" s="108"/>
      <c r="BR41" s="108"/>
      <c r="BS41" s="108"/>
      <c r="BT41" s="108"/>
      <c r="BU41" s="108"/>
      <c r="BV41" s="108"/>
      <c r="BW41" s="108"/>
      <c r="BX41" s="108"/>
      <c r="BY41" s="108"/>
      <c r="BZ41" s="108"/>
      <c r="CA41" s="108"/>
      <c r="CB41" s="108"/>
      <c r="CC41" s="108"/>
      <c r="CD41" s="108"/>
      <c r="CE41" s="108"/>
      <c r="CF41" s="108"/>
      <c r="CG41" s="108"/>
      <c r="CH41" s="108"/>
      <c r="CI41" s="108"/>
      <c r="CJ41" s="108"/>
      <c r="CK41" s="108"/>
      <c r="CL41" s="108"/>
      <c r="CM41" s="108"/>
      <c r="CN41" s="182"/>
      <c r="CO41" s="107"/>
      <c r="CP41" s="108"/>
      <c r="CQ41" s="108"/>
      <c r="CR41" s="107"/>
      <c r="CS41" s="107"/>
      <c r="CT41" s="107"/>
      <c r="CU41" s="107"/>
      <c r="CV41" s="107"/>
      <c r="CW41" s="107"/>
      <c r="CX41" s="107"/>
      <c r="CY41" s="107"/>
    </row>
    <row r="42" spans="1:103" s="41" customFormat="1" ht="24" customHeight="1" x14ac:dyDescent="0.2">
      <c r="A42" s="117">
        <v>11</v>
      </c>
      <c r="B42" s="118" t="s">
        <v>584</v>
      </c>
      <c r="C42" s="118"/>
      <c r="D42" s="118"/>
      <c r="E42" s="118"/>
      <c r="F42" s="118"/>
      <c r="G42" s="119"/>
      <c r="H42" s="120"/>
      <c r="I42" s="185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108"/>
      <c r="BM42" s="108"/>
      <c r="BN42" s="108"/>
      <c r="BO42" s="108"/>
      <c r="BP42" s="108"/>
      <c r="BQ42" s="108"/>
      <c r="BR42" s="108"/>
      <c r="BS42" s="108"/>
      <c r="BT42" s="108"/>
      <c r="BU42" s="108"/>
      <c r="BV42" s="108"/>
      <c r="BW42" s="108"/>
      <c r="BX42" s="108"/>
      <c r="BY42" s="108"/>
      <c r="BZ42" s="108"/>
      <c r="CA42" s="108"/>
      <c r="CB42" s="108"/>
      <c r="CC42" s="108"/>
      <c r="CD42" s="108"/>
      <c r="CE42" s="108"/>
      <c r="CF42" s="108"/>
      <c r="CG42" s="108"/>
      <c r="CH42" s="108"/>
      <c r="CI42" s="108"/>
      <c r="CJ42" s="108"/>
      <c r="CK42" s="108"/>
      <c r="CL42" s="108"/>
      <c r="CM42" s="108"/>
      <c r="CN42" s="107"/>
      <c r="CO42" s="107"/>
      <c r="CP42" s="107"/>
      <c r="CQ42" s="108"/>
      <c r="CR42" s="107"/>
      <c r="CS42" s="107"/>
      <c r="CT42" s="107"/>
      <c r="CU42" s="107"/>
      <c r="CV42" s="107"/>
      <c r="CW42" s="107"/>
      <c r="CX42" s="107"/>
      <c r="CY42" s="107"/>
    </row>
    <row r="43" spans="1:103" s="41" customFormat="1" ht="24" customHeight="1" x14ac:dyDescent="0.2">
      <c r="A43" s="113">
        <v>12</v>
      </c>
      <c r="B43" s="114" t="s">
        <v>585</v>
      </c>
      <c r="C43" s="114"/>
      <c r="D43" s="114"/>
      <c r="E43" s="114"/>
      <c r="F43" s="114"/>
      <c r="G43" s="115"/>
      <c r="H43" s="116"/>
      <c r="I43" s="185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8"/>
      <c r="BK43" s="108"/>
      <c r="BL43" s="108"/>
      <c r="BM43" s="108"/>
      <c r="BN43" s="108"/>
      <c r="BO43" s="108"/>
      <c r="BP43" s="108"/>
      <c r="BQ43" s="108"/>
      <c r="BR43" s="108"/>
      <c r="BS43" s="108"/>
      <c r="BT43" s="108"/>
      <c r="BU43" s="108"/>
      <c r="BV43" s="108"/>
      <c r="BW43" s="108"/>
      <c r="BX43" s="108"/>
      <c r="BY43" s="108"/>
      <c r="BZ43" s="108"/>
      <c r="CA43" s="108"/>
      <c r="CB43" s="108"/>
      <c r="CC43" s="108"/>
      <c r="CD43" s="108"/>
      <c r="CE43" s="108"/>
      <c r="CF43" s="108"/>
      <c r="CG43" s="108"/>
      <c r="CH43" s="108"/>
      <c r="CI43" s="108"/>
      <c r="CJ43" s="108"/>
      <c r="CK43" s="108"/>
      <c r="CL43" s="108"/>
      <c r="CM43" s="108"/>
      <c r="CN43" s="107"/>
      <c r="CO43" s="107"/>
      <c r="CP43" s="108"/>
      <c r="CQ43" s="108"/>
      <c r="CR43" s="107"/>
      <c r="CS43" s="107"/>
      <c r="CT43" s="107"/>
      <c r="CU43" s="107"/>
      <c r="CV43" s="107"/>
      <c r="CW43" s="107"/>
      <c r="CX43" s="107"/>
      <c r="CY43" s="107"/>
    </row>
    <row r="44" spans="1:103" s="41" customFormat="1" ht="24" customHeight="1" x14ac:dyDescent="0.2">
      <c r="A44" s="117">
        <v>13</v>
      </c>
      <c r="B44" s="118" t="s">
        <v>586</v>
      </c>
      <c r="C44" s="118"/>
      <c r="D44" s="118"/>
      <c r="E44" s="118"/>
      <c r="F44" s="118"/>
      <c r="G44" s="119"/>
      <c r="H44" s="120"/>
      <c r="I44" s="185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108"/>
      <c r="BV44" s="108"/>
      <c r="BW44" s="108"/>
      <c r="BX44" s="108"/>
      <c r="BY44" s="108"/>
      <c r="BZ44" s="108"/>
      <c r="CA44" s="108"/>
      <c r="CB44" s="108"/>
      <c r="CC44" s="108"/>
      <c r="CD44" s="108"/>
      <c r="CE44" s="108"/>
      <c r="CF44" s="108"/>
      <c r="CG44" s="108"/>
      <c r="CH44" s="108"/>
      <c r="CI44" s="108"/>
      <c r="CJ44" s="108"/>
      <c r="CK44" s="108"/>
      <c r="CL44" s="108"/>
      <c r="CM44" s="108"/>
      <c r="CN44" s="107"/>
      <c r="CO44" s="107"/>
      <c r="CP44" s="108"/>
      <c r="CQ44" s="108"/>
      <c r="CR44" s="107"/>
      <c r="CS44" s="107"/>
      <c r="CT44" s="107"/>
      <c r="CU44" s="107"/>
      <c r="CV44" s="107"/>
      <c r="CW44" s="107"/>
      <c r="CX44" s="107"/>
      <c r="CY44" s="107"/>
    </row>
    <row r="45" spans="1:103" s="41" customFormat="1" ht="24" customHeight="1" x14ac:dyDescent="0.2">
      <c r="A45" s="113">
        <v>14</v>
      </c>
      <c r="B45" s="114" t="s">
        <v>587</v>
      </c>
      <c r="C45" s="114"/>
      <c r="D45" s="114"/>
      <c r="E45" s="114"/>
      <c r="F45" s="114"/>
      <c r="G45" s="115"/>
      <c r="H45" s="116"/>
      <c r="I45" s="185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108"/>
      <c r="BV45" s="108"/>
      <c r="BW45" s="108"/>
      <c r="BX45" s="108"/>
      <c r="BY45" s="108"/>
      <c r="BZ45" s="108"/>
      <c r="CA45" s="108"/>
      <c r="CB45" s="108"/>
      <c r="CC45" s="108"/>
      <c r="CD45" s="108"/>
      <c r="CE45" s="108"/>
      <c r="CF45" s="108"/>
      <c r="CG45" s="108"/>
      <c r="CH45" s="108"/>
      <c r="CI45" s="108"/>
      <c r="CJ45" s="108"/>
      <c r="CK45" s="108"/>
      <c r="CL45" s="108"/>
      <c r="CM45" s="108"/>
      <c r="CN45" s="107"/>
      <c r="CO45" s="107"/>
      <c r="CP45" s="108"/>
      <c r="CQ45" s="108"/>
      <c r="CR45" s="107"/>
      <c r="CS45" s="107"/>
      <c r="CT45" s="107"/>
      <c r="CU45" s="107"/>
      <c r="CV45" s="107"/>
      <c r="CW45" s="107"/>
      <c r="CX45" s="107"/>
      <c r="CY45" s="107"/>
    </row>
    <row r="46" spans="1:103" s="41" customFormat="1" ht="24" customHeight="1" x14ac:dyDescent="0.2">
      <c r="A46" s="117">
        <v>15</v>
      </c>
      <c r="B46" s="118" t="s">
        <v>588</v>
      </c>
      <c r="C46" s="118"/>
      <c r="D46" s="118"/>
      <c r="E46" s="118"/>
      <c r="F46" s="118"/>
      <c r="G46" s="119"/>
      <c r="H46" s="120"/>
      <c r="I46" s="185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08"/>
      <c r="CE46" s="108"/>
      <c r="CF46" s="108"/>
      <c r="CG46" s="108"/>
      <c r="CH46" s="108"/>
      <c r="CI46" s="108"/>
      <c r="CJ46" s="108"/>
      <c r="CK46" s="108"/>
      <c r="CL46" s="108"/>
      <c r="CM46" s="108"/>
      <c r="CN46" s="107"/>
      <c r="CO46" s="107"/>
      <c r="CP46" s="108"/>
      <c r="CQ46" s="108"/>
      <c r="CR46" s="107"/>
      <c r="CS46" s="107"/>
      <c r="CT46" s="107"/>
      <c r="CU46" s="107"/>
      <c r="CV46" s="107"/>
      <c r="CW46" s="107"/>
      <c r="CX46" s="107"/>
      <c r="CY46" s="107"/>
    </row>
    <row r="47" spans="1:103" s="41" customFormat="1" ht="24" customHeight="1" x14ac:dyDescent="0.2">
      <c r="A47" s="113">
        <v>16</v>
      </c>
      <c r="B47" s="114" t="s">
        <v>589</v>
      </c>
      <c r="C47" s="114"/>
      <c r="D47" s="114"/>
      <c r="E47" s="114"/>
      <c r="F47" s="114"/>
      <c r="G47" s="115"/>
      <c r="H47" s="116"/>
      <c r="I47" s="185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  <c r="BY47" s="108"/>
      <c r="BZ47" s="108"/>
      <c r="CA47" s="108"/>
      <c r="CB47" s="108"/>
      <c r="CC47" s="108"/>
      <c r="CD47" s="108"/>
      <c r="CE47" s="108"/>
      <c r="CF47" s="108"/>
      <c r="CG47" s="108"/>
      <c r="CH47" s="108"/>
      <c r="CI47" s="108"/>
      <c r="CJ47" s="108"/>
      <c r="CK47" s="108"/>
      <c r="CL47" s="108"/>
      <c r="CM47" s="108"/>
      <c r="CN47" s="107"/>
      <c r="CO47" s="107"/>
      <c r="CP47" s="108"/>
      <c r="CQ47" s="108"/>
      <c r="CR47" s="107"/>
      <c r="CS47" s="107"/>
      <c r="CT47" s="107"/>
      <c r="CU47" s="107"/>
      <c r="CV47" s="107"/>
      <c r="CW47" s="107"/>
      <c r="CX47" s="107"/>
      <c r="CY47" s="107"/>
    </row>
    <row r="48" spans="1:103" s="41" customFormat="1" ht="24" customHeight="1" x14ac:dyDescent="0.2">
      <c r="A48" s="117">
        <v>17</v>
      </c>
      <c r="B48" s="118" t="s">
        <v>590</v>
      </c>
      <c r="C48" s="118"/>
      <c r="D48" s="118"/>
      <c r="E48" s="118"/>
      <c r="F48" s="118"/>
      <c r="G48" s="119"/>
      <c r="H48" s="120"/>
      <c r="I48" s="185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08"/>
      <c r="BX48" s="108"/>
      <c r="BY48" s="108"/>
      <c r="BZ48" s="108"/>
      <c r="CA48" s="108"/>
      <c r="CB48" s="108"/>
      <c r="CC48" s="108"/>
      <c r="CD48" s="108"/>
      <c r="CE48" s="108"/>
      <c r="CF48" s="108"/>
      <c r="CG48" s="108"/>
      <c r="CH48" s="108"/>
      <c r="CI48" s="108"/>
      <c r="CJ48" s="108"/>
      <c r="CK48" s="108"/>
      <c r="CL48" s="108"/>
      <c r="CM48" s="108"/>
      <c r="CN48" s="107"/>
      <c r="CO48" s="107"/>
      <c r="CP48" s="108"/>
      <c r="CQ48" s="108"/>
      <c r="CR48" s="107"/>
      <c r="CS48" s="107"/>
      <c r="CT48" s="107"/>
      <c r="CU48" s="107"/>
      <c r="CV48" s="107"/>
      <c r="CW48" s="107"/>
      <c r="CX48" s="107"/>
      <c r="CY48" s="107"/>
    </row>
    <row r="49" spans="1:103" s="41" customFormat="1" ht="24" customHeight="1" x14ac:dyDescent="0.2">
      <c r="A49" s="113">
        <v>18</v>
      </c>
      <c r="B49" s="122" t="s">
        <v>591</v>
      </c>
      <c r="C49" s="114"/>
      <c r="D49" s="115"/>
      <c r="E49" s="115"/>
      <c r="F49" s="115"/>
      <c r="G49" s="115"/>
      <c r="H49" s="116"/>
      <c r="I49" s="185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08"/>
      <c r="BU49" s="108"/>
      <c r="BV49" s="108"/>
      <c r="BW49" s="108"/>
      <c r="BX49" s="108"/>
      <c r="BY49" s="108"/>
      <c r="BZ49" s="108"/>
      <c r="CA49" s="108"/>
      <c r="CB49" s="108"/>
      <c r="CC49" s="108"/>
      <c r="CD49" s="108"/>
      <c r="CE49" s="108"/>
      <c r="CF49" s="108"/>
      <c r="CG49" s="108"/>
      <c r="CH49" s="108"/>
      <c r="CI49" s="108"/>
      <c r="CJ49" s="108"/>
      <c r="CK49" s="108"/>
      <c r="CL49" s="108"/>
      <c r="CM49" s="108"/>
      <c r="CN49" s="182"/>
      <c r="CO49" s="107"/>
      <c r="CP49" s="108"/>
      <c r="CQ49" s="108"/>
      <c r="CR49" s="107"/>
      <c r="CS49" s="107"/>
      <c r="CT49" s="107"/>
      <c r="CU49" s="107"/>
      <c r="CV49" s="107"/>
      <c r="CW49" s="107"/>
      <c r="CX49" s="107"/>
      <c r="CY49" s="107"/>
    </row>
    <row r="50" spans="1:103" s="41" customFormat="1" ht="24" customHeight="1" x14ac:dyDescent="0.2">
      <c r="A50" s="117">
        <v>19</v>
      </c>
      <c r="B50" s="123" t="s">
        <v>592</v>
      </c>
      <c r="C50" s="118"/>
      <c r="D50" s="119"/>
      <c r="E50" s="119"/>
      <c r="F50" s="119"/>
      <c r="G50" s="119"/>
      <c r="H50" s="120"/>
      <c r="I50" s="185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  <c r="BO50" s="108"/>
      <c r="BP50" s="108"/>
      <c r="BQ50" s="108"/>
      <c r="BR50" s="108"/>
      <c r="BS50" s="108"/>
      <c r="BT50" s="108"/>
      <c r="BU50" s="108"/>
      <c r="BV50" s="108"/>
      <c r="BW50" s="108"/>
      <c r="BX50" s="108"/>
      <c r="BY50" s="108"/>
      <c r="BZ50" s="108"/>
      <c r="CA50" s="108"/>
      <c r="CB50" s="108"/>
      <c r="CC50" s="108"/>
      <c r="CD50" s="108"/>
      <c r="CE50" s="108"/>
      <c r="CF50" s="108"/>
      <c r="CG50" s="108"/>
      <c r="CH50" s="108"/>
      <c r="CI50" s="108"/>
      <c r="CJ50" s="108"/>
      <c r="CK50" s="108"/>
      <c r="CL50" s="108"/>
      <c r="CM50" s="108"/>
      <c r="CN50" s="182"/>
      <c r="CO50" s="107"/>
      <c r="CP50" s="108"/>
      <c r="CQ50" s="108"/>
      <c r="CR50" s="107"/>
      <c r="CS50" s="107"/>
      <c r="CT50" s="107"/>
      <c r="CU50" s="107"/>
      <c r="CV50" s="107"/>
      <c r="CW50" s="107"/>
      <c r="CX50" s="107"/>
      <c r="CY50" s="107"/>
    </row>
    <row r="51" spans="1:103" s="124" customFormat="1" ht="24" customHeight="1" x14ac:dyDescent="0.2">
      <c r="A51" s="113">
        <v>20</v>
      </c>
      <c r="B51" s="122" t="s">
        <v>593</v>
      </c>
      <c r="C51" s="114"/>
      <c r="D51" s="115"/>
      <c r="E51" s="115"/>
      <c r="F51" s="115"/>
      <c r="G51" s="115"/>
      <c r="H51" s="116"/>
      <c r="I51" s="185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82"/>
      <c r="CO51" s="107"/>
      <c r="CP51" s="108"/>
      <c r="CQ51" s="108"/>
      <c r="CR51" s="107"/>
      <c r="CS51" s="107"/>
      <c r="CT51" s="107"/>
      <c r="CU51" s="107"/>
      <c r="CV51" s="107"/>
      <c r="CW51" s="107"/>
      <c r="CX51" s="107"/>
      <c r="CY51" s="107"/>
    </row>
    <row r="52" spans="1:103" s="124" customFormat="1" ht="24" customHeight="1" x14ac:dyDescent="0.2">
      <c r="A52" s="117">
        <v>21</v>
      </c>
      <c r="B52" s="123" t="s">
        <v>570</v>
      </c>
      <c r="C52" s="118"/>
      <c r="D52" s="119"/>
      <c r="E52" s="119"/>
      <c r="F52" s="119"/>
      <c r="G52" s="119"/>
      <c r="H52" s="120"/>
      <c r="I52" s="185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08"/>
      <c r="BR52" s="108"/>
      <c r="BS52" s="108"/>
      <c r="BT52" s="108"/>
      <c r="BU52" s="108"/>
      <c r="BV52" s="108"/>
      <c r="BW52" s="108"/>
      <c r="BX52" s="108"/>
      <c r="BY52" s="108"/>
      <c r="BZ52" s="108"/>
      <c r="CA52" s="108"/>
      <c r="CB52" s="108"/>
      <c r="CC52" s="108"/>
      <c r="CD52" s="108"/>
      <c r="CE52" s="108"/>
      <c r="CF52" s="108"/>
      <c r="CG52" s="108"/>
      <c r="CH52" s="108"/>
      <c r="CI52" s="108"/>
      <c r="CJ52" s="108"/>
      <c r="CK52" s="108"/>
      <c r="CL52" s="108"/>
      <c r="CM52" s="108"/>
      <c r="CN52" s="182"/>
      <c r="CO52" s="107"/>
      <c r="CP52" s="108"/>
      <c r="CQ52" s="108"/>
      <c r="CR52" s="107"/>
      <c r="CS52" s="107"/>
      <c r="CT52" s="107"/>
      <c r="CU52" s="107"/>
      <c r="CV52" s="107"/>
      <c r="CW52" s="107"/>
      <c r="CX52" s="107"/>
      <c r="CY52" s="107"/>
    </row>
    <row r="53" spans="1:103" ht="24" customHeight="1" x14ac:dyDescent="0.2">
      <c r="A53" s="109">
        <v>22</v>
      </c>
      <c r="B53" s="125" t="s">
        <v>594</v>
      </c>
      <c r="C53" s="110"/>
      <c r="D53" s="111"/>
      <c r="E53" s="111"/>
      <c r="F53" s="111"/>
      <c r="G53" s="111"/>
      <c r="H53" s="112"/>
      <c r="I53" s="185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82"/>
      <c r="CO53" s="107"/>
      <c r="CP53" s="108"/>
      <c r="CQ53" s="108"/>
      <c r="CR53" s="107"/>
      <c r="CS53" s="107"/>
      <c r="CT53" s="107"/>
      <c r="CU53" s="107"/>
      <c r="CV53" s="107"/>
      <c r="CW53" s="107"/>
      <c r="CX53" s="107"/>
      <c r="CY53" s="107"/>
    </row>
    <row r="54" spans="1:103" ht="24" customHeight="1" x14ac:dyDescent="0.2">
      <c r="A54" s="187">
        <v>23</v>
      </c>
      <c r="B54" s="126" t="s">
        <v>595</v>
      </c>
      <c r="C54" s="127"/>
      <c r="D54" s="128"/>
      <c r="E54" s="128"/>
      <c r="F54" s="128"/>
      <c r="G54" s="128"/>
      <c r="H54" s="129"/>
      <c r="I54" s="185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8"/>
      <c r="BW54" s="108"/>
      <c r="BX54" s="108"/>
      <c r="BY54" s="108"/>
      <c r="BZ54" s="108"/>
      <c r="CA54" s="108"/>
      <c r="CB54" s="108"/>
      <c r="CC54" s="108"/>
      <c r="CD54" s="108"/>
      <c r="CE54" s="108"/>
      <c r="CF54" s="108"/>
      <c r="CG54" s="108"/>
      <c r="CH54" s="108"/>
      <c r="CI54" s="108"/>
      <c r="CJ54" s="108"/>
      <c r="CK54" s="108"/>
      <c r="CL54" s="108"/>
      <c r="CM54" s="108"/>
      <c r="CN54" s="182"/>
      <c r="CO54" s="107"/>
      <c r="CP54" s="108"/>
      <c r="CQ54" s="108"/>
      <c r="CR54" s="107"/>
      <c r="CS54" s="107"/>
      <c r="CT54" s="107"/>
      <c r="CU54" s="107"/>
      <c r="CV54" s="107"/>
      <c r="CW54" s="107"/>
      <c r="CX54" s="107"/>
      <c r="CY54" s="107"/>
    </row>
    <row r="55" spans="1:103" ht="24" customHeight="1" x14ac:dyDescent="0.2">
      <c r="A55" s="188">
        <v>24</v>
      </c>
      <c r="B55" s="249" t="s">
        <v>706</v>
      </c>
      <c r="C55" s="250"/>
      <c r="D55" s="250"/>
      <c r="E55" s="250"/>
      <c r="F55" s="250"/>
      <c r="G55" s="250"/>
      <c r="H55" s="251"/>
      <c r="I55" s="185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108"/>
      <c r="CE55" s="108"/>
      <c r="CF55" s="108"/>
      <c r="CG55" s="108"/>
      <c r="CH55" s="108"/>
      <c r="CI55" s="108"/>
      <c r="CJ55" s="108"/>
      <c r="CK55" s="108"/>
      <c r="CL55" s="108"/>
      <c r="CM55" s="108"/>
      <c r="CN55" s="182"/>
      <c r="CO55" s="107"/>
      <c r="CP55" s="108"/>
      <c r="CQ55" s="108"/>
      <c r="CR55" s="107"/>
      <c r="CS55" s="107"/>
      <c r="CT55" s="107"/>
      <c r="CU55" s="107"/>
      <c r="CV55" s="107"/>
      <c r="CW55" s="107"/>
      <c r="CX55" s="107"/>
      <c r="CY55" s="107"/>
    </row>
    <row r="56" spans="1:103" ht="24" customHeight="1" x14ac:dyDescent="0.2">
      <c r="A56" s="130" t="s">
        <v>596</v>
      </c>
      <c r="B56" s="131"/>
      <c r="C56" s="131"/>
      <c r="D56" s="131"/>
      <c r="E56" s="131"/>
      <c r="F56" s="131"/>
      <c r="G56" s="131"/>
      <c r="H56" s="132"/>
      <c r="I56" s="133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4"/>
      <c r="CL56" s="134"/>
      <c r="CM56" s="134"/>
      <c r="CN56" s="134"/>
      <c r="CO56" s="134"/>
      <c r="CP56" s="134"/>
      <c r="CQ56" s="134"/>
      <c r="CR56" s="135"/>
      <c r="CS56" s="135"/>
      <c r="CT56" s="135"/>
      <c r="CU56" s="135"/>
      <c r="CV56" s="135"/>
      <c r="CW56" s="135"/>
      <c r="CX56" s="135"/>
      <c r="CY56" s="135"/>
    </row>
    <row r="57" spans="1:103" ht="24" customHeight="1" x14ac:dyDescent="0.2">
      <c r="A57" s="117">
        <v>1</v>
      </c>
      <c r="B57" s="136" t="s">
        <v>597</v>
      </c>
      <c r="C57" s="137"/>
      <c r="D57" s="137"/>
      <c r="E57" s="137"/>
      <c r="F57" s="137"/>
      <c r="G57" s="137"/>
      <c r="H57" s="138"/>
      <c r="I57" s="133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  <c r="CL57" s="134"/>
      <c r="CM57" s="134"/>
      <c r="CN57" s="134"/>
      <c r="CO57" s="134"/>
      <c r="CP57" s="134"/>
      <c r="CQ57" s="134"/>
      <c r="CR57" s="135"/>
      <c r="CS57" s="135"/>
      <c r="CT57" s="135"/>
      <c r="CU57" s="135"/>
      <c r="CV57" s="135"/>
      <c r="CW57" s="135"/>
      <c r="CX57" s="135"/>
      <c r="CY57" s="135"/>
    </row>
    <row r="58" spans="1:103" ht="24" customHeight="1" x14ac:dyDescent="0.2">
      <c r="A58" s="109">
        <v>2</v>
      </c>
      <c r="B58" s="110" t="s">
        <v>598</v>
      </c>
      <c r="C58" s="139"/>
      <c r="D58" s="139"/>
      <c r="E58" s="139"/>
      <c r="F58" s="139"/>
      <c r="G58" s="139"/>
      <c r="H58" s="140"/>
      <c r="I58" s="141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  <c r="BM58" s="92"/>
      <c r="BN58" s="92"/>
      <c r="BO58" s="92"/>
      <c r="BP58" s="92"/>
      <c r="BQ58" s="92"/>
      <c r="BR58" s="92"/>
      <c r="BS58" s="92"/>
      <c r="BT58" s="92"/>
      <c r="BU58" s="92"/>
      <c r="BV58" s="92"/>
      <c r="BW58" s="92"/>
      <c r="BX58" s="92"/>
      <c r="BY58" s="92"/>
      <c r="BZ58" s="92"/>
      <c r="CA58" s="92"/>
      <c r="CB58" s="92"/>
      <c r="CC58" s="92"/>
      <c r="CD58" s="92"/>
      <c r="CE58" s="92"/>
      <c r="CF58" s="92"/>
      <c r="CG58" s="92"/>
      <c r="CH58" s="92"/>
      <c r="CI58" s="92"/>
      <c r="CJ58" s="92"/>
      <c r="CK58" s="92"/>
      <c r="CL58" s="92"/>
      <c r="CM58" s="92"/>
      <c r="CN58" s="92"/>
      <c r="CO58" s="92"/>
      <c r="CP58" s="92"/>
      <c r="CQ58" s="92"/>
      <c r="CR58" s="142"/>
      <c r="CS58" s="142"/>
      <c r="CT58" s="142"/>
      <c r="CU58" s="142"/>
      <c r="CV58" s="142"/>
      <c r="CW58" s="142"/>
      <c r="CX58" s="142"/>
      <c r="CY58" s="142"/>
    </row>
    <row r="59" spans="1:103" ht="24" customHeight="1" x14ac:dyDescent="0.2">
      <c r="A59" s="117">
        <v>3</v>
      </c>
      <c r="B59" s="143" t="s">
        <v>599</v>
      </c>
      <c r="C59" s="144"/>
      <c r="D59" s="144"/>
      <c r="E59" s="144"/>
      <c r="F59" s="144"/>
      <c r="G59" s="144"/>
      <c r="H59" s="145"/>
      <c r="I59" s="141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  <c r="BM59" s="92"/>
      <c r="BN59" s="92"/>
      <c r="BO59" s="92"/>
      <c r="BP59" s="92"/>
      <c r="BQ59" s="92"/>
      <c r="BR59" s="92"/>
      <c r="BS59" s="92"/>
      <c r="BT59" s="92"/>
      <c r="BU59" s="92"/>
      <c r="BV59" s="92"/>
      <c r="BW59" s="92"/>
      <c r="BX59" s="92"/>
      <c r="BY59" s="92"/>
      <c r="BZ59" s="92"/>
      <c r="CA59" s="92"/>
      <c r="CB59" s="92"/>
      <c r="CC59" s="92"/>
      <c r="CD59" s="92"/>
      <c r="CE59" s="92"/>
      <c r="CF59" s="92"/>
      <c r="CG59" s="92"/>
      <c r="CH59" s="92"/>
      <c r="CI59" s="92"/>
      <c r="CJ59" s="92"/>
      <c r="CK59" s="92"/>
      <c r="CL59" s="92"/>
      <c r="CM59" s="92"/>
      <c r="CN59" s="92"/>
      <c r="CO59" s="92"/>
      <c r="CP59" s="92"/>
      <c r="CQ59" s="92"/>
      <c r="CR59" s="142"/>
      <c r="CS59" s="142"/>
      <c r="CT59" s="142"/>
      <c r="CU59" s="142"/>
      <c r="CV59" s="142"/>
      <c r="CW59" s="142"/>
      <c r="CX59" s="142"/>
      <c r="CY59" s="142"/>
    </row>
    <row r="60" spans="1:103" ht="24" customHeight="1" x14ac:dyDescent="0.2">
      <c r="A60" s="109">
        <v>4</v>
      </c>
      <c r="B60" s="110" t="s">
        <v>600</v>
      </c>
      <c r="C60" s="139"/>
      <c r="D60" s="139"/>
      <c r="E60" s="139"/>
      <c r="F60" s="139"/>
      <c r="G60" s="139"/>
      <c r="H60" s="140"/>
      <c r="I60" s="141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  <c r="BL60" s="92"/>
      <c r="BM60" s="92"/>
      <c r="BN60" s="92"/>
      <c r="BO60" s="92"/>
      <c r="BP60" s="92"/>
      <c r="BQ60" s="92"/>
      <c r="BR60" s="92"/>
      <c r="BS60" s="92"/>
      <c r="BT60" s="92"/>
      <c r="BU60" s="92"/>
      <c r="BV60" s="92"/>
      <c r="BW60" s="92"/>
      <c r="BX60" s="92"/>
      <c r="BY60" s="92"/>
      <c r="BZ60" s="92"/>
      <c r="CA60" s="92"/>
      <c r="CB60" s="92"/>
      <c r="CC60" s="92"/>
      <c r="CD60" s="92"/>
      <c r="CE60" s="92"/>
      <c r="CF60" s="92"/>
      <c r="CG60" s="92"/>
      <c r="CH60" s="92"/>
      <c r="CI60" s="92"/>
      <c r="CJ60" s="92"/>
      <c r="CK60" s="92"/>
      <c r="CL60" s="92"/>
      <c r="CM60" s="92"/>
      <c r="CN60" s="91"/>
      <c r="CO60" s="91"/>
      <c r="CP60" s="91"/>
      <c r="CQ60" s="91"/>
      <c r="CR60" s="93"/>
      <c r="CS60" s="93"/>
      <c r="CT60" s="93"/>
      <c r="CU60" s="93"/>
      <c r="CV60" s="93"/>
      <c r="CW60" s="93"/>
      <c r="CX60" s="93"/>
      <c r="CY60" s="93"/>
    </row>
    <row r="61" spans="1:103" ht="24" customHeight="1" x14ac:dyDescent="0.2">
      <c r="A61" s="117">
        <v>5</v>
      </c>
      <c r="B61" s="146" t="s">
        <v>601</v>
      </c>
      <c r="C61" s="144"/>
      <c r="D61" s="144"/>
      <c r="E61" s="144"/>
      <c r="F61" s="144"/>
      <c r="G61" s="144"/>
      <c r="H61" s="145"/>
      <c r="I61" s="141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  <c r="BL61" s="92"/>
      <c r="BM61" s="92"/>
      <c r="BN61" s="92"/>
      <c r="BO61" s="92"/>
      <c r="BP61" s="92"/>
      <c r="BQ61" s="92"/>
      <c r="BR61" s="92"/>
      <c r="BS61" s="92"/>
      <c r="BT61" s="92"/>
      <c r="BU61" s="92"/>
      <c r="BV61" s="92"/>
      <c r="BW61" s="92"/>
      <c r="BX61" s="92"/>
      <c r="BY61" s="92"/>
      <c r="BZ61" s="92"/>
      <c r="CA61" s="92"/>
      <c r="CB61" s="92"/>
      <c r="CC61" s="92"/>
      <c r="CD61" s="92"/>
      <c r="CE61" s="92"/>
      <c r="CF61" s="92"/>
      <c r="CG61" s="92"/>
      <c r="CH61" s="92"/>
      <c r="CI61" s="92"/>
      <c r="CJ61" s="92"/>
      <c r="CK61" s="92"/>
      <c r="CL61" s="92"/>
      <c r="CM61" s="92"/>
      <c r="CN61" s="91"/>
      <c r="CO61" s="91"/>
      <c r="CP61" s="91"/>
      <c r="CQ61" s="91"/>
      <c r="CR61" s="93"/>
      <c r="CS61" s="93"/>
      <c r="CT61" s="93"/>
      <c r="CU61" s="93"/>
      <c r="CV61" s="93"/>
      <c r="CW61" s="93"/>
      <c r="CX61" s="93"/>
      <c r="CY61" s="93"/>
    </row>
    <row r="62" spans="1:103" ht="24" customHeight="1" x14ac:dyDescent="0.2">
      <c r="A62" s="113">
        <v>6</v>
      </c>
      <c r="B62" s="147" t="s">
        <v>602</v>
      </c>
      <c r="C62" s="148"/>
      <c r="D62" s="148"/>
      <c r="E62" s="148"/>
      <c r="F62" s="148"/>
      <c r="G62" s="148"/>
      <c r="H62" s="149"/>
      <c r="I62" s="141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  <c r="BM62" s="92"/>
      <c r="BN62" s="92"/>
      <c r="BO62" s="92"/>
      <c r="BP62" s="92"/>
      <c r="BQ62" s="92"/>
      <c r="BR62" s="92"/>
      <c r="BS62" s="92"/>
      <c r="BT62" s="92"/>
      <c r="BU62" s="92"/>
      <c r="BV62" s="92"/>
      <c r="BW62" s="92"/>
      <c r="BX62" s="92"/>
      <c r="BY62" s="92"/>
      <c r="BZ62" s="92"/>
      <c r="CA62" s="92"/>
      <c r="CB62" s="92"/>
      <c r="CC62" s="92"/>
      <c r="CD62" s="92"/>
      <c r="CE62" s="92"/>
      <c r="CF62" s="92"/>
      <c r="CG62" s="92"/>
      <c r="CH62" s="92"/>
      <c r="CI62" s="92"/>
      <c r="CJ62" s="92"/>
      <c r="CK62" s="92"/>
      <c r="CL62" s="92"/>
      <c r="CM62" s="92"/>
      <c r="CN62" s="91"/>
      <c r="CO62" s="91"/>
      <c r="CP62" s="91"/>
      <c r="CQ62" s="91"/>
      <c r="CR62" s="93"/>
      <c r="CS62" s="93"/>
      <c r="CT62" s="93"/>
      <c r="CU62" s="93"/>
      <c r="CV62" s="93"/>
      <c r="CW62" s="93"/>
      <c r="CX62" s="93"/>
      <c r="CY62" s="93"/>
    </row>
    <row r="63" spans="1:103" ht="24" customHeight="1" x14ac:dyDescent="0.2">
      <c r="A63" s="117">
        <v>7</v>
      </c>
      <c r="B63" s="118" t="s">
        <v>603</v>
      </c>
      <c r="C63" s="150"/>
      <c r="D63" s="150"/>
      <c r="E63" s="150"/>
      <c r="F63" s="150"/>
      <c r="G63" s="150"/>
      <c r="H63" s="151"/>
      <c r="I63" s="141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92"/>
      <c r="BR63" s="92"/>
      <c r="BS63" s="92"/>
      <c r="BT63" s="92"/>
      <c r="BU63" s="92"/>
      <c r="BV63" s="92"/>
      <c r="BW63" s="92"/>
      <c r="BX63" s="92"/>
      <c r="BY63" s="92"/>
      <c r="BZ63" s="92"/>
      <c r="CA63" s="92"/>
      <c r="CB63" s="92"/>
      <c r="CC63" s="92"/>
      <c r="CD63" s="92"/>
      <c r="CE63" s="92"/>
      <c r="CF63" s="92"/>
      <c r="CG63" s="92"/>
      <c r="CH63" s="92"/>
      <c r="CI63" s="92"/>
      <c r="CJ63" s="92"/>
      <c r="CK63" s="92"/>
      <c r="CL63" s="92"/>
      <c r="CM63" s="92"/>
      <c r="CN63" s="91"/>
      <c r="CO63" s="91"/>
      <c r="CP63" s="91"/>
      <c r="CQ63" s="91"/>
      <c r="CR63" s="93"/>
      <c r="CS63" s="93"/>
      <c r="CT63" s="93"/>
      <c r="CU63" s="93"/>
      <c r="CV63" s="93"/>
      <c r="CW63" s="93"/>
      <c r="CX63" s="93"/>
      <c r="CY63" s="93"/>
    </row>
    <row r="64" spans="1:103" ht="24" customHeight="1" x14ac:dyDescent="0.2">
      <c r="A64" s="113">
        <v>8</v>
      </c>
      <c r="B64" s="152" t="s">
        <v>604</v>
      </c>
      <c r="C64" s="153"/>
      <c r="D64" s="153"/>
      <c r="E64" s="153"/>
      <c r="F64" s="153"/>
      <c r="G64" s="153"/>
      <c r="H64" s="154"/>
      <c r="I64" s="141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92"/>
      <c r="BR64" s="92"/>
      <c r="BS64" s="92"/>
      <c r="BT64" s="92"/>
      <c r="BU64" s="92"/>
      <c r="BV64" s="92"/>
      <c r="BW64" s="92"/>
      <c r="BX64" s="92"/>
      <c r="BY64" s="92"/>
      <c r="BZ64" s="92"/>
      <c r="CA64" s="92"/>
      <c r="CB64" s="92"/>
      <c r="CC64" s="92"/>
      <c r="CD64" s="92"/>
      <c r="CE64" s="92"/>
      <c r="CF64" s="92"/>
      <c r="CG64" s="92"/>
      <c r="CH64" s="92"/>
      <c r="CI64" s="92"/>
      <c r="CJ64" s="92"/>
      <c r="CK64" s="92"/>
      <c r="CL64" s="92"/>
      <c r="CM64" s="92"/>
      <c r="CN64" s="91"/>
      <c r="CO64" s="91"/>
      <c r="CP64" s="91"/>
      <c r="CQ64" s="91"/>
      <c r="CR64" s="93"/>
      <c r="CS64" s="93"/>
      <c r="CT64" s="93"/>
      <c r="CU64" s="93"/>
      <c r="CV64" s="93"/>
      <c r="CW64" s="93"/>
      <c r="CX64" s="93"/>
      <c r="CY64" s="93"/>
    </row>
    <row r="65" spans="1:103" ht="24" customHeight="1" x14ac:dyDescent="0.2">
      <c r="A65" s="117">
        <v>9</v>
      </c>
      <c r="B65" s="123" t="s">
        <v>605</v>
      </c>
      <c r="C65" s="150"/>
      <c r="D65" s="150"/>
      <c r="E65" s="150"/>
      <c r="F65" s="150"/>
      <c r="G65" s="150"/>
      <c r="H65" s="151"/>
      <c r="I65" s="141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  <c r="BM65" s="92"/>
      <c r="BN65" s="92"/>
      <c r="BO65" s="92"/>
      <c r="BP65" s="92"/>
      <c r="BQ65" s="92"/>
      <c r="BR65" s="92"/>
      <c r="BS65" s="92"/>
      <c r="BT65" s="92"/>
      <c r="BU65" s="92"/>
      <c r="BV65" s="92"/>
      <c r="BW65" s="92"/>
      <c r="BX65" s="92"/>
      <c r="BY65" s="92"/>
      <c r="BZ65" s="92"/>
      <c r="CA65" s="92"/>
      <c r="CB65" s="92"/>
      <c r="CC65" s="92"/>
      <c r="CD65" s="92"/>
      <c r="CE65" s="92"/>
      <c r="CF65" s="92"/>
      <c r="CG65" s="92"/>
      <c r="CH65" s="92"/>
      <c r="CI65" s="92"/>
      <c r="CJ65" s="92"/>
      <c r="CK65" s="92"/>
      <c r="CL65" s="92"/>
      <c r="CM65" s="92"/>
      <c r="CN65" s="91"/>
      <c r="CO65" s="91"/>
      <c r="CP65" s="91"/>
      <c r="CQ65" s="91"/>
      <c r="CR65" s="93"/>
      <c r="CS65" s="93"/>
      <c r="CT65" s="93"/>
      <c r="CU65" s="93"/>
      <c r="CV65" s="93"/>
      <c r="CW65" s="93"/>
      <c r="CX65" s="93"/>
      <c r="CY65" s="93"/>
    </row>
    <row r="66" spans="1:103" ht="24" customHeight="1" x14ac:dyDescent="0.2">
      <c r="A66" s="113">
        <v>10</v>
      </c>
      <c r="B66" s="155" t="s">
        <v>606</v>
      </c>
      <c r="C66" s="153"/>
      <c r="D66" s="153"/>
      <c r="E66" s="153"/>
      <c r="F66" s="153"/>
      <c r="G66" s="153"/>
      <c r="H66" s="154"/>
      <c r="I66" s="141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  <c r="BL66" s="92"/>
      <c r="BM66" s="92"/>
      <c r="BN66" s="92"/>
      <c r="BO66" s="92"/>
      <c r="BP66" s="92"/>
      <c r="BQ66" s="92"/>
      <c r="BR66" s="92"/>
      <c r="BS66" s="92"/>
      <c r="BT66" s="92"/>
      <c r="BU66" s="92"/>
      <c r="BV66" s="92"/>
      <c r="BW66" s="92"/>
      <c r="BX66" s="92"/>
      <c r="BY66" s="92"/>
      <c r="BZ66" s="92"/>
      <c r="CA66" s="92"/>
      <c r="CB66" s="92"/>
      <c r="CC66" s="92"/>
      <c r="CD66" s="92"/>
      <c r="CE66" s="92"/>
      <c r="CF66" s="92"/>
      <c r="CG66" s="92"/>
      <c r="CH66" s="92"/>
      <c r="CI66" s="92"/>
      <c r="CJ66" s="92"/>
      <c r="CK66" s="92"/>
      <c r="CL66" s="92"/>
      <c r="CM66" s="92"/>
      <c r="CN66" s="91"/>
      <c r="CO66" s="91"/>
      <c r="CP66" s="91"/>
      <c r="CQ66" s="91"/>
      <c r="CR66" s="93"/>
      <c r="CS66" s="93"/>
      <c r="CT66" s="93"/>
      <c r="CU66" s="93"/>
      <c r="CV66" s="93"/>
      <c r="CW66" s="93"/>
      <c r="CX66" s="93"/>
      <c r="CY66" s="93"/>
    </row>
    <row r="67" spans="1:103" ht="24" customHeight="1" x14ac:dyDescent="0.2">
      <c r="A67" s="117">
        <v>11</v>
      </c>
      <c r="B67" s="118" t="s">
        <v>607</v>
      </c>
      <c r="C67" s="150"/>
      <c r="D67" s="150"/>
      <c r="E67" s="150"/>
      <c r="F67" s="150"/>
      <c r="G67" s="150"/>
      <c r="H67" s="151"/>
      <c r="I67" s="141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  <c r="BM67" s="92"/>
      <c r="BN67" s="92"/>
      <c r="BO67" s="92"/>
      <c r="BP67" s="92"/>
      <c r="BQ67" s="92"/>
      <c r="BR67" s="92"/>
      <c r="BS67" s="92"/>
      <c r="BT67" s="92"/>
      <c r="BU67" s="92"/>
      <c r="BV67" s="92"/>
      <c r="BW67" s="92"/>
      <c r="BX67" s="92"/>
      <c r="BY67" s="92"/>
      <c r="BZ67" s="92"/>
      <c r="CA67" s="92"/>
      <c r="CB67" s="92"/>
      <c r="CC67" s="92"/>
      <c r="CD67" s="92"/>
      <c r="CE67" s="92"/>
      <c r="CF67" s="92"/>
      <c r="CG67" s="92"/>
      <c r="CH67" s="92"/>
      <c r="CI67" s="92"/>
      <c r="CJ67" s="92"/>
      <c r="CK67" s="92"/>
      <c r="CL67" s="92"/>
      <c r="CM67" s="92"/>
      <c r="CN67" s="91"/>
      <c r="CO67" s="91"/>
      <c r="CP67" s="91"/>
      <c r="CQ67" s="91"/>
      <c r="CR67" s="93"/>
      <c r="CS67" s="93"/>
      <c r="CT67" s="93"/>
      <c r="CU67" s="93"/>
      <c r="CV67" s="93"/>
      <c r="CW67" s="93"/>
      <c r="CX67" s="93"/>
      <c r="CY67" s="93"/>
    </row>
    <row r="68" spans="1:103" ht="24" customHeight="1" x14ac:dyDescent="0.2">
      <c r="A68" s="113">
        <v>12</v>
      </c>
      <c r="B68" s="152" t="s">
        <v>608</v>
      </c>
      <c r="C68" s="153"/>
      <c r="D68" s="153"/>
      <c r="E68" s="153"/>
      <c r="F68" s="153"/>
      <c r="G68" s="153"/>
      <c r="H68" s="154"/>
      <c r="I68" s="141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  <c r="BM68" s="92"/>
      <c r="BN68" s="92"/>
      <c r="BO68" s="92"/>
      <c r="BP68" s="92"/>
      <c r="BQ68" s="92"/>
      <c r="BR68" s="92"/>
      <c r="BS68" s="92"/>
      <c r="BT68" s="92"/>
      <c r="BU68" s="92"/>
      <c r="BV68" s="92"/>
      <c r="BW68" s="92"/>
      <c r="BX68" s="92"/>
      <c r="BY68" s="92"/>
      <c r="BZ68" s="92"/>
      <c r="CA68" s="92"/>
      <c r="CB68" s="92"/>
      <c r="CC68" s="92"/>
      <c r="CD68" s="92"/>
      <c r="CE68" s="92"/>
      <c r="CF68" s="92"/>
      <c r="CG68" s="92"/>
      <c r="CH68" s="92"/>
      <c r="CI68" s="92"/>
      <c r="CJ68" s="92"/>
      <c r="CK68" s="92"/>
      <c r="CL68" s="92"/>
      <c r="CM68" s="92"/>
      <c r="CN68" s="91"/>
      <c r="CO68" s="91"/>
      <c r="CP68" s="91"/>
      <c r="CQ68" s="91"/>
      <c r="CR68" s="93"/>
      <c r="CS68" s="93"/>
      <c r="CT68" s="93"/>
      <c r="CU68" s="93"/>
      <c r="CV68" s="93"/>
      <c r="CW68" s="93"/>
      <c r="CX68" s="93"/>
      <c r="CY68" s="93"/>
    </row>
    <row r="69" spans="1:103" ht="24" customHeight="1" x14ac:dyDescent="0.2">
      <c r="A69" s="117">
        <v>13</v>
      </c>
      <c r="B69" s="118" t="s">
        <v>609</v>
      </c>
      <c r="C69" s="150"/>
      <c r="D69" s="150"/>
      <c r="E69" s="150"/>
      <c r="F69" s="150"/>
      <c r="G69" s="150"/>
      <c r="H69" s="151"/>
      <c r="I69" s="141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  <c r="BM69" s="92"/>
      <c r="BN69" s="92"/>
      <c r="BO69" s="92"/>
      <c r="BP69" s="92"/>
      <c r="BQ69" s="92"/>
      <c r="BR69" s="92"/>
      <c r="BS69" s="92"/>
      <c r="BT69" s="92"/>
      <c r="BU69" s="92"/>
      <c r="BV69" s="92"/>
      <c r="BW69" s="92"/>
      <c r="BX69" s="92"/>
      <c r="BY69" s="92"/>
      <c r="BZ69" s="92"/>
      <c r="CA69" s="92"/>
      <c r="CB69" s="92"/>
      <c r="CC69" s="92"/>
      <c r="CD69" s="92"/>
      <c r="CE69" s="92"/>
      <c r="CF69" s="92"/>
      <c r="CG69" s="92"/>
      <c r="CH69" s="92"/>
      <c r="CI69" s="92"/>
      <c r="CJ69" s="92"/>
      <c r="CK69" s="92"/>
      <c r="CL69" s="92"/>
      <c r="CM69" s="92"/>
      <c r="CN69" s="91"/>
      <c r="CO69" s="91"/>
      <c r="CP69" s="91"/>
      <c r="CQ69" s="91"/>
      <c r="CR69" s="93"/>
      <c r="CS69" s="93"/>
      <c r="CT69" s="93"/>
      <c r="CU69" s="93"/>
      <c r="CV69" s="93"/>
      <c r="CW69" s="93"/>
      <c r="CX69" s="93"/>
      <c r="CY69" s="93"/>
    </row>
    <row r="70" spans="1:103" ht="24" customHeight="1" x14ac:dyDescent="0.2">
      <c r="A70" s="113">
        <v>14</v>
      </c>
      <c r="B70" s="156" t="s">
        <v>610</v>
      </c>
      <c r="C70" s="153"/>
      <c r="D70" s="153"/>
      <c r="E70" s="153"/>
      <c r="F70" s="153"/>
      <c r="G70" s="153"/>
      <c r="H70" s="154"/>
      <c r="I70" s="141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  <c r="BM70" s="92"/>
      <c r="BN70" s="92"/>
      <c r="BO70" s="92"/>
      <c r="BP70" s="92"/>
      <c r="BQ70" s="92"/>
      <c r="BR70" s="92"/>
      <c r="BS70" s="92"/>
      <c r="BT70" s="92"/>
      <c r="BU70" s="92"/>
      <c r="BV70" s="92"/>
      <c r="BW70" s="92"/>
      <c r="BX70" s="92"/>
      <c r="BY70" s="92"/>
      <c r="BZ70" s="92"/>
      <c r="CA70" s="92"/>
      <c r="CB70" s="92"/>
      <c r="CC70" s="92"/>
      <c r="CD70" s="92"/>
      <c r="CE70" s="92"/>
      <c r="CF70" s="92"/>
      <c r="CG70" s="92"/>
      <c r="CH70" s="92"/>
      <c r="CI70" s="92"/>
      <c r="CJ70" s="92"/>
      <c r="CK70" s="92"/>
      <c r="CL70" s="92"/>
      <c r="CM70" s="92"/>
      <c r="CN70" s="91"/>
      <c r="CO70" s="91"/>
      <c r="CP70" s="91"/>
      <c r="CQ70" s="91"/>
      <c r="CR70" s="93"/>
      <c r="CS70" s="93"/>
      <c r="CT70" s="93"/>
      <c r="CU70" s="93"/>
      <c r="CV70" s="93"/>
      <c r="CW70" s="93"/>
      <c r="CX70" s="93"/>
      <c r="CY70" s="93"/>
    </row>
    <row r="71" spans="1:103" ht="24" customHeight="1" x14ac:dyDescent="0.2">
      <c r="A71" s="117">
        <v>15</v>
      </c>
      <c r="B71" s="118" t="s">
        <v>611</v>
      </c>
      <c r="C71" s="150"/>
      <c r="D71" s="150"/>
      <c r="E71" s="150"/>
      <c r="F71" s="150"/>
      <c r="G71" s="150"/>
      <c r="H71" s="151"/>
      <c r="I71" s="141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  <c r="BL71" s="92"/>
      <c r="BM71" s="92"/>
      <c r="BN71" s="92"/>
      <c r="BO71" s="92"/>
      <c r="BP71" s="92"/>
      <c r="BQ71" s="92"/>
      <c r="BR71" s="92"/>
      <c r="BS71" s="92"/>
      <c r="BT71" s="92"/>
      <c r="BU71" s="92"/>
      <c r="BV71" s="92"/>
      <c r="BW71" s="92"/>
      <c r="BX71" s="92"/>
      <c r="BY71" s="92"/>
      <c r="BZ71" s="92"/>
      <c r="CA71" s="92"/>
      <c r="CB71" s="92"/>
      <c r="CC71" s="92"/>
      <c r="CD71" s="92"/>
      <c r="CE71" s="92"/>
      <c r="CF71" s="92"/>
      <c r="CG71" s="92"/>
      <c r="CH71" s="92"/>
      <c r="CI71" s="92"/>
      <c r="CJ71" s="92"/>
      <c r="CK71" s="92"/>
      <c r="CL71" s="92"/>
      <c r="CM71" s="92"/>
      <c r="CN71" s="91"/>
      <c r="CO71" s="91"/>
      <c r="CP71" s="91"/>
      <c r="CQ71" s="91"/>
      <c r="CR71" s="93"/>
      <c r="CS71" s="93"/>
      <c r="CT71" s="93"/>
      <c r="CU71" s="93"/>
      <c r="CV71" s="93"/>
      <c r="CW71" s="93"/>
      <c r="CX71" s="93"/>
      <c r="CY71" s="93"/>
    </row>
    <row r="72" spans="1:103" ht="24" customHeight="1" x14ac:dyDescent="0.2">
      <c r="A72" s="113">
        <v>16</v>
      </c>
      <c r="B72" s="157" t="s">
        <v>612</v>
      </c>
      <c r="C72" s="153"/>
      <c r="D72" s="153"/>
      <c r="E72" s="153"/>
      <c r="F72" s="153"/>
      <c r="G72" s="153"/>
      <c r="H72" s="154"/>
      <c r="I72" s="141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2"/>
      <c r="BR72" s="92"/>
      <c r="BS72" s="92"/>
      <c r="BT72" s="92"/>
      <c r="BU72" s="92"/>
      <c r="BV72" s="92"/>
      <c r="BW72" s="92"/>
      <c r="BX72" s="92"/>
      <c r="BY72" s="92"/>
      <c r="BZ72" s="92"/>
      <c r="CA72" s="92"/>
      <c r="CB72" s="92"/>
      <c r="CC72" s="92"/>
      <c r="CD72" s="92"/>
      <c r="CE72" s="92"/>
      <c r="CF72" s="92"/>
      <c r="CG72" s="92"/>
      <c r="CH72" s="92"/>
      <c r="CI72" s="92"/>
      <c r="CJ72" s="92"/>
      <c r="CK72" s="92"/>
      <c r="CL72" s="92"/>
      <c r="CM72" s="92"/>
      <c r="CN72" s="91"/>
      <c r="CO72" s="91"/>
      <c r="CP72" s="91"/>
      <c r="CQ72" s="91"/>
      <c r="CR72" s="93"/>
      <c r="CS72" s="93"/>
      <c r="CT72" s="93"/>
      <c r="CU72" s="93"/>
      <c r="CV72" s="93"/>
      <c r="CW72" s="93"/>
      <c r="CX72" s="93"/>
      <c r="CY72" s="93"/>
    </row>
    <row r="73" spans="1:103" ht="24" customHeight="1" x14ac:dyDescent="0.2">
      <c r="A73" s="117">
        <v>17</v>
      </c>
      <c r="B73" s="118" t="s">
        <v>613</v>
      </c>
      <c r="C73" s="150"/>
      <c r="D73" s="150"/>
      <c r="E73" s="150"/>
      <c r="F73" s="150"/>
      <c r="G73" s="150"/>
      <c r="H73" s="151"/>
      <c r="I73" s="141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1"/>
      <c r="CO73" s="91"/>
      <c r="CP73" s="91"/>
      <c r="CQ73" s="91"/>
      <c r="CR73" s="93"/>
      <c r="CS73" s="93"/>
      <c r="CT73" s="93"/>
      <c r="CU73" s="93"/>
      <c r="CV73" s="93"/>
      <c r="CW73" s="93"/>
      <c r="CX73" s="93"/>
      <c r="CY73" s="93"/>
    </row>
    <row r="74" spans="1:103" ht="24" customHeight="1" x14ac:dyDescent="0.2">
      <c r="A74" s="113">
        <v>18</v>
      </c>
      <c r="B74" s="155" t="s">
        <v>614</v>
      </c>
      <c r="C74" s="153"/>
      <c r="D74" s="153"/>
      <c r="E74" s="153"/>
      <c r="F74" s="153"/>
      <c r="G74" s="153"/>
      <c r="H74" s="154"/>
      <c r="I74" s="141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2"/>
      <c r="BT74" s="92"/>
      <c r="BU74" s="92"/>
      <c r="BV74" s="92"/>
      <c r="BW74" s="92"/>
      <c r="BX74" s="92"/>
      <c r="BY74" s="92"/>
      <c r="BZ74" s="92"/>
      <c r="CA74" s="92"/>
      <c r="CB74" s="92"/>
      <c r="CC74" s="92"/>
      <c r="CD74" s="92"/>
      <c r="CE74" s="92"/>
      <c r="CF74" s="92"/>
      <c r="CG74" s="92"/>
      <c r="CH74" s="92"/>
      <c r="CI74" s="92"/>
      <c r="CJ74" s="92"/>
      <c r="CK74" s="92"/>
      <c r="CL74" s="92"/>
      <c r="CM74" s="92"/>
      <c r="CN74" s="91"/>
      <c r="CO74" s="91"/>
      <c r="CP74" s="91"/>
      <c r="CQ74" s="91"/>
      <c r="CR74" s="93"/>
      <c r="CS74" s="93"/>
      <c r="CT74" s="93"/>
      <c r="CU74" s="93"/>
      <c r="CV74" s="93"/>
      <c r="CW74" s="93"/>
      <c r="CX74" s="93"/>
      <c r="CY74" s="93"/>
    </row>
    <row r="75" spans="1:103" ht="24" customHeight="1" x14ac:dyDescent="0.2">
      <c r="A75" s="117">
        <v>19</v>
      </c>
      <c r="B75" s="123" t="s">
        <v>615</v>
      </c>
      <c r="C75" s="150"/>
      <c r="D75" s="150"/>
      <c r="E75" s="150"/>
      <c r="F75" s="150"/>
      <c r="G75" s="150"/>
      <c r="H75" s="151"/>
      <c r="I75" s="141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2"/>
      <c r="BT75" s="92"/>
      <c r="BU75" s="92"/>
      <c r="BV75" s="92"/>
      <c r="BW75" s="92"/>
      <c r="BX75" s="92"/>
      <c r="BY75" s="92"/>
      <c r="BZ75" s="92"/>
      <c r="CA75" s="92"/>
      <c r="CB75" s="92"/>
      <c r="CC75" s="92"/>
      <c r="CD75" s="92"/>
      <c r="CE75" s="92"/>
      <c r="CF75" s="92"/>
      <c r="CG75" s="92"/>
      <c r="CH75" s="92"/>
      <c r="CI75" s="92"/>
      <c r="CJ75" s="92"/>
      <c r="CK75" s="92"/>
      <c r="CL75" s="92"/>
      <c r="CM75" s="92"/>
      <c r="CN75" s="91"/>
      <c r="CO75" s="91"/>
      <c r="CP75" s="91"/>
      <c r="CQ75" s="91"/>
      <c r="CR75" s="93"/>
      <c r="CS75" s="93"/>
      <c r="CT75" s="93"/>
      <c r="CU75" s="93"/>
      <c r="CV75" s="93"/>
      <c r="CW75" s="93"/>
      <c r="CX75" s="93"/>
      <c r="CY75" s="93"/>
    </row>
    <row r="76" spans="1:103" ht="24" customHeight="1" x14ac:dyDescent="0.2">
      <c r="A76" s="113">
        <v>20</v>
      </c>
      <c r="B76" s="254" t="s">
        <v>616</v>
      </c>
      <c r="C76" s="254"/>
      <c r="D76" s="254"/>
      <c r="E76" s="254"/>
      <c r="F76" s="254"/>
      <c r="G76" s="254"/>
      <c r="H76" s="255"/>
      <c r="I76" s="121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182"/>
      <c r="AR76" s="182"/>
      <c r="AS76" s="182"/>
      <c r="AT76" s="182"/>
      <c r="AU76" s="182"/>
      <c r="AV76" s="182"/>
      <c r="AW76" s="182"/>
      <c r="AX76" s="182"/>
      <c r="AY76" s="182"/>
      <c r="AZ76" s="182"/>
      <c r="BA76" s="182"/>
      <c r="BB76" s="182"/>
      <c r="BC76" s="182"/>
      <c r="BD76" s="182"/>
      <c r="BE76" s="182"/>
      <c r="BF76" s="182"/>
      <c r="BG76" s="182"/>
      <c r="BH76" s="182"/>
      <c r="BI76" s="182"/>
      <c r="BJ76" s="182"/>
      <c r="BK76" s="182"/>
      <c r="BL76" s="182"/>
      <c r="BM76" s="182"/>
      <c r="BN76" s="182"/>
      <c r="BO76" s="182"/>
      <c r="BP76" s="182"/>
      <c r="BQ76" s="182"/>
      <c r="BR76" s="182"/>
      <c r="BS76" s="182"/>
      <c r="BT76" s="182"/>
      <c r="BU76" s="182"/>
      <c r="BV76" s="182"/>
      <c r="BW76" s="182"/>
      <c r="BX76" s="182"/>
      <c r="BY76" s="182"/>
      <c r="BZ76" s="182"/>
      <c r="CA76" s="182"/>
      <c r="CB76" s="182"/>
      <c r="CC76" s="182"/>
      <c r="CD76" s="182"/>
      <c r="CE76" s="182"/>
      <c r="CF76" s="182"/>
      <c r="CG76" s="182"/>
      <c r="CH76" s="182"/>
      <c r="CI76" s="182"/>
      <c r="CJ76" s="182"/>
      <c r="CK76" s="182"/>
      <c r="CL76" s="182"/>
      <c r="CM76" s="182"/>
      <c r="CN76" s="91"/>
      <c r="CO76" s="91"/>
      <c r="CP76" s="91"/>
      <c r="CQ76" s="91"/>
      <c r="CR76" s="93"/>
      <c r="CS76" s="93"/>
      <c r="CT76" s="93"/>
      <c r="CU76" s="93"/>
      <c r="CV76" s="93"/>
      <c r="CW76" s="93"/>
      <c r="CX76" s="93"/>
      <c r="CY76" s="93"/>
    </row>
    <row r="77" spans="1:103" ht="24" customHeight="1" x14ac:dyDescent="0.2">
      <c r="A77" s="117">
        <v>21</v>
      </c>
      <c r="B77" s="252" t="s">
        <v>617</v>
      </c>
      <c r="C77" s="252"/>
      <c r="D77" s="252"/>
      <c r="E77" s="252"/>
      <c r="F77" s="252"/>
      <c r="G77" s="252"/>
      <c r="H77" s="252"/>
      <c r="I77" s="121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182"/>
      <c r="AR77" s="182"/>
      <c r="AS77" s="182"/>
      <c r="AT77" s="182"/>
      <c r="AU77" s="182"/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  <c r="BF77" s="182"/>
      <c r="BG77" s="182"/>
      <c r="BH77" s="182"/>
      <c r="BI77" s="182"/>
      <c r="BJ77" s="182"/>
      <c r="BK77" s="182"/>
      <c r="BL77" s="182"/>
      <c r="BM77" s="182"/>
      <c r="BN77" s="182"/>
      <c r="BO77" s="182"/>
      <c r="BP77" s="182"/>
      <c r="BQ77" s="182"/>
      <c r="BR77" s="182"/>
      <c r="BS77" s="182"/>
      <c r="BT77" s="182"/>
      <c r="BU77" s="182"/>
      <c r="BV77" s="182"/>
      <c r="BW77" s="182"/>
      <c r="BX77" s="182"/>
      <c r="BY77" s="182"/>
      <c r="BZ77" s="182"/>
      <c r="CA77" s="182"/>
      <c r="CB77" s="182"/>
      <c r="CC77" s="182"/>
      <c r="CD77" s="182"/>
      <c r="CE77" s="182"/>
      <c r="CF77" s="182"/>
      <c r="CG77" s="182"/>
      <c r="CH77" s="182"/>
      <c r="CI77" s="182"/>
      <c r="CJ77" s="182"/>
      <c r="CK77" s="182"/>
      <c r="CL77" s="182"/>
      <c r="CM77" s="182"/>
      <c r="CN77" s="91"/>
      <c r="CO77" s="91"/>
      <c r="CP77" s="91"/>
      <c r="CQ77" s="91"/>
      <c r="CR77" s="93"/>
      <c r="CS77" s="93"/>
      <c r="CT77" s="93"/>
      <c r="CU77" s="93"/>
      <c r="CV77" s="93"/>
      <c r="CW77" s="93"/>
      <c r="CX77" s="93"/>
      <c r="CY77" s="93"/>
    </row>
    <row r="78" spans="1:103" ht="24" customHeight="1" x14ac:dyDescent="0.2">
      <c r="A78" s="113">
        <v>22</v>
      </c>
      <c r="B78" s="253" t="s">
        <v>618</v>
      </c>
      <c r="C78" s="254"/>
      <c r="D78" s="254"/>
      <c r="E78" s="254"/>
      <c r="F78" s="254"/>
      <c r="G78" s="254"/>
      <c r="H78" s="255"/>
      <c r="I78" s="121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182"/>
      <c r="AR78" s="182"/>
      <c r="AS78" s="182"/>
      <c r="AT78" s="182"/>
      <c r="AU78" s="182"/>
      <c r="AV78" s="182"/>
      <c r="AW78" s="182"/>
      <c r="AX78" s="182"/>
      <c r="AY78" s="182"/>
      <c r="AZ78" s="182"/>
      <c r="BA78" s="182"/>
      <c r="BB78" s="182"/>
      <c r="BC78" s="182"/>
      <c r="BD78" s="182"/>
      <c r="BE78" s="182"/>
      <c r="BF78" s="182"/>
      <c r="BG78" s="182"/>
      <c r="BH78" s="182"/>
      <c r="BI78" s="182"/>
      <c r="BJ78" s="182"/>
      <c r="BK78" s="182"/>
      <c r="BL78" s="182"/>
      <c r="BM78" s="182"/>
      <c r="BN78" s="182"/>
      <c r="BO78" s="182"/>
      <c r="BP78" s="182"/>
      <c r="BQ78" s="182"/>
      <c r="BR78" s="182"/>
      <c r="BS78" s="182"/>
      <c r="BT78" s="182"/>
      <c r="BU78" s="182"/>
      <c r="BV78" s="182"/>
      <c r="BW78" s="182"/>
      <c r="BX78" s="182"/>
      <c r="BY78" s="182"/>
      <c r="BZ78" s="182"/>
      <c r="CA78" s="182"/>
      <c r="CB78" s="182"/>
      <c r="CC78" s="182"/>
      <c r="CD78" s="182"/>
      <c r="CE78" s="182"/>
      <c r="CF78" s="182"/>
      <c r="CG78" s="182"/>
      <c r="CH78" s="182"/>
      <c r="CI78" s="182"/>
      <c r="CJ78" s="182"/>
      <c r="CK78" s="182"/>
      <c r="CL78" s="182"/>
      <c r="CM78" s="182"/>
      <c r="CN78" s="91"/>
      <c r="CO78" s="91"/>
      <c r="CP78" s="91"/>
      <c r="CQ78" s="91"/>
      <c r="CR78" s="93"/>
      <c r="CS78" s="93"/>
      <c r="CT78" s="93"/>
      <c r="CU78" s="93"/>
      <c r="CV78" s="93"/>
      <c r="CW78" s="93"/>
      <c r="CX78" s="93"/>
      <c r="CY78" s="93"/>
    </row>
    <row r="79" spans="1:103" ht="15" customHeight="1" x14ac:dyDescent="0.2">
      <c r="A79" s="158">
        <v>23</v>
      </c>
      <c r="B79" s="256" t="s">
        <v>619</v>
      </c>
      <c r="C79" s="257"/>
      <c r="D79" s="257"/>
      <c r="E79" s="257"/>
      <c r="F79" s="257"/>
      <c r="G79" s="257"/>
      <c r="H79" s="258"/>
      <c r="I79" s="186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80"/>
      <c r="AI79" s="180"/>
      <c r="AJ79" s="180"/>
      <c r="AK79" s="180"/>
      <c r="AL79" s="180"/>
      <c r="AM79" s="180"/>
      <c r="AN79" s="180"/>
      <c r="AO79" s="180"/>
      <c r="AP79" s="180"/>
      <c r="AQ79" s="180"/>
      <c r="AR79" s="180"/>
      <c r="AS79" s="180"/>
      <c r="AT79" s="180"/>
      <c r="AU79" s="180"/>
      <c r="AV79" s="180"/>
      <c r="AW79" s="180"/>
      <c r="AX79" s="180"/>
      <c r="AY79" s="180"/>
      <c r="AZ79" s="180"/>
      <c r="BA79" s="180"/>
      <c r="BB79" s="180"/>
      <c r="BC79" s="180"/>
      <c r="BD79" s="180"/>
      <c r="BE79" s="180"/>
      <c r="BF79" s="180"/>
      <c r="BG79" s="180"/>
      <c r="BH79" s="180"/>
      <c r="BI79" s="180"/>
      <c r="BJ79" s="180"/>
      <c r="BK79" s="180"/>
      <c r="BL79" s="180"/>
      <c r="BM79" s="180"/>
      <c r="BN79" s="180"/>
      <c r="BO79" s="180"/>
      <c r="BP79" s="180"/>
      <c r="BQ79" s="180"/>
      <c r="BR79" s="180"/>
      <c r="BS79" s="180"/>
      <c r="BT79" s="180"/>
      <c r="BU79" s="180"/>
      <c r="BV79" s="180"/>
      <c r="BW79" s="180"/>
      <c r="BX79" s="180"/>
      <c r="BY79" s="180"/>
      <c r="BZ79" s="180"/>
      <c r="CA79" s="180"/>
      <c r="CB79" s="180"/>
      <c r="CC79" s="180"/>
      <c r="CD79" s="180"/>
      <c r="CE79" s="180"/>
      <c r="CF79" s="180"/>
      <c r="CG79" s="180"/>
      <c r="CH79" s="180"/>
      <c r="CI79" s="180"/>
      <c r="CJ79" s="180"/>
      <c r="CK79" s="180"/>
      <c r="CL79" s="180"/>
      <c r="CM79" s="180"/>
      <c r="CN79" s="91"/>
      <c r="CO79" s="91"/>
      <c r="CP79" s="91"/>
      <c r="CQ79" s="91"/>
      <c r="CR79" s="93"/>
      <c r="CS79" s="93"/>
      <c r="CT79" s="93"/>
      <c r="CU79" s="93"/>
      <c r="CV79" s="93"/>
      <c r="CW79" s="93"/>
      <c r="CX79" s="93"/>
      <c r="CY79" s="93"/>
    </row>
    <row r="80" spans="1:103" ht="17.25" customHeight="1" x14ac:dyDescent="0.2">
      <c r="A80" s="189">
        <v>24</v>
      </c>
      <c r="B80" s="246" t="s">
        <v>705</v>
      </c>
      <c r="C80" s="247"/>
      <c r="D80" s="247"/>
      <c r="E80" s="247"/>
      <c r="F80" s="247"/>
      <c r="G80" s="247"/>
      <c r="H80" s="248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B80" s="91"/>
      <c r="CC80" s="91"/>
      <c r="CD80" s="91"/>
      <c r="CE80" s="91"/>
      <c r="CF80" s="91"/>
      <c r="CG80" s="91"/>
      <c r="CH80" s="91"/>
      <c r="CI80" s="91"/>
      <c r="CJ80" s="91"/>
      <c r="CK80" s="91"/>
      <c r="CL80" s="91"/>
      <c r="CM80" s="91"/>
      <c r="CN80" s="91"/>
      <c r="CO80" s="91"/>
      <c r="CP80" s="91"/>
      <c r="CQ80" s="91"/>
      <c r="CR80" s="93"/>
      <c r="CS80" s="93"/>
      <c r="CT80" s="93"/>
      <c r="CU80" s="93"/>
      <c r="CV80" s="93"/>
      <c r="CW80" s="93"/>
      <c r="CX80" s="93"/>
      <c r="CY80" s="93"/>
    </row>
    <row r="81" spans="1:103" x14ac:dyDescent="0.2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B81" s="91"/>
      <c r="CC81" s="91"/>
      <c r="CD81" s="91"/>
      <c r="CE81" s="91"/>
      <c r="CF81" s="91"/>
      <c r="CG81" s="91"/>
      <c r="CH81" s="91"/>
      <c r="CI81" s="91"/>
      <c r="CJ81" s="91"/>
      <c r="CK81" s="91"/>
      <c r="CL81" s="91"/>
      <c r="CM81" s="91"/>
      <c r="CN81" s="91"/>
      <c r="CO81" s="91"/>
      <c r="CP81" s="91"/>
      <c r="CQ81" s="91"/>
      <c r="CR81" s="93"/>
      <c r="CS81" s="93"/>
      <c r="CT81" s="93"/>
      <c r="CU81" s="93"/>
      <c r="CV81" s="93"/>
      <c r="CW81" s="93"/>
      <c r="CX81" s="93"/>
      <c r="CY81" s="93"/>
    </row>
  </sheetData>
  <sheetProtection formatCells="0" formatColumns="0" formatRows="0" sort="0" autoFilter="0"/>
  <mergeCells count="29">
    <mergeCell ref="B80:H80"/>
    <mergeCell ref="B55:H55"/>
    <mergeCell ref="B77:H77"/>
    <mergeCell ref="B78:H78"/>
    <mergeCell ref="B79:H79"/>
    <mergeCell ref="B76:H76"/>
    <mergeCell ref="B24:C24"/>
    <mergeCell ref="B25:C25"/>
    <mergeCell ref="B26:C26"/>
    <mergeCell ref="B27:C27"/>
    <mergeCell ref="B30:C30"/>
    <mergeCell ref="B23:C23"/>
    <mergeCell ref="B11:C11"/>
    <mergeCell ref="B12:C12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0:C10"/>
    <mergeCell ref="A1:C1"/>
    <mergeCell ref="A2:C2"/>
    <mergeCell ref="A6:C6"/>
    <mergeCell ref="B8:C8"/>
    <mergeCell ref="B9:C9"/>
  </mergeCells>
  <printOptions horizontalCentered="1" verticalCentered="1"/>
  <pageMargins left="0.39370078740157483" right="0.39370078740157483" top="0.35433070866141736" bottom="0.33" header="0.15748031496062992" footer="0.28000000000000003"/>
  <pageSetup paperSize="9" scale="79" pageOrder="overThenDown" orientation="landscape" r:id="rId1"/>
  <headerFooter alignWithMargins="0"/>
  <rowBreaks count="2" manualBreakCount="2">
    <brk id="27" max="17" man="1"/>
    <brk id="50" max="17" man="1"/>
  </rowBreaks>
  <colBreaks count="2" manualBreakCount="2">
    <brk id="91" max="69" man="1"/>
    <brk id="96" max="6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293"/>
  <sheetViews>
    <sheetView workbookViewId="0">
      <selection activeCell="B15" sqref="B15"/>
    </sheetView>
  </sheetViews>
  <sheetFormatPr defaultRowHeight="12.75" x14ac:dyDescent="0.2"/>
  <cols>
    <col min="1" max="1" width="43.5703125" customWidth="1"/>
    <col min="2" max="2" width="66.28515625" customWidth="1"/>
    <col min="3" max="4" width="4.7109375" customWidth="1"/>
    <col min="5" max="5" width="13.7109375" customWidth="1"/>
    <col min="6" max="7" width="4.7109375" customWidth="1"/>
    <col min="8" max="8" width="13.7109375" customWidth="1"/>
    <col min="9" max="9" width="4.7109375" customWidth="1"/>
    <col min="10" max="10" width="13.7109375" customWidth="1"/>
    <col min="11" max="11" width="4.7109375" customWidth="1"/>
    <col min="12" max="12" width="13.7109375" customWidth="1"/>
  </cols>
  <sheetData>
    <row r="2" spans="1:2" ht="15.75" x14ac:dyDescent="0.25">
      <c r="A2" s="27" t="s">
        <v>505</v>
      </c>
    </row>
    <row r="3" spans="1:2" x14ac:dyDescent="0.2">
      <c r="A3" s="15" t="s">
        <v>509</v>
      </c>
    </row>
    <row r="4" spans="1:2" x14ac:dyDescent="0.2">
      <c r="A4" s="15" t="s">
        <v>510</v>
      </c>
    </row>
    <row r="5" spans="1:2" x14ac:dyDescent="0.2">
      <c r="A5" s="15" t="s">
        <v>511</v>
      </c>
    </row>
    <row r="6" spans="1:2" x14ac:dyDescent="0.2">
      <c r="A6" s="15"/>
    </row>
    <row r="7" spans="1:2" x14ac:dyDescent="0.2">
      <c r="A7" s="196" t="s">
        <v>773</v>
      </c>
      <c r="B7" s="26"/>
    </row>
    <row r="8" spans="1:2" x14ac:dyDescent="0.2">
      <c r="A8" s="196" t="s">
        <v>513</v>
      </c>
      <c r="B8" s="26"/>
    </row>
    <row r="9" spans="1:2" x14ac:dyDescent="0.2">
      <c r="A9" s="15"/>
    </row>
    <row r="10" spans="1:2" x14ac:dyDescent="0.2">
      <c r="A10" s="15" t="s">
        <v>518</v>
      </c>
    </row>
    <row r="11" spans="1:2" x14ac:dyDescent="0.2">
      <c r="A11" s="15"/>
    </row>
    <row r="12" spans="1:2" x14ac:dyDescent="0.2">
      <c r="A12" s="15"/>
    </row>
    <row r="13" spans="1:2" x14ac:dyDescent="0.2">
      <c r="A13" s="15"/>
    </row>
    <row r="14" spans="1:2" x14ac:dyDescent="0.2">
      <c r="A14" s="15"/>
    </row>
    <row r="15" spans="1:2" x14ac:dyDescent="0.2">
      <c r="A15" s="15"/>
    </row>
    <row r="16" spans="1:2" x14ac:dyDescent="0.2">
      <c r="A16" s="15"/>
    </row>
    <row r="17" spans="1:1" x14ac:dyDescent="0.2">
      <c r="A17" s="15"/>
    </row>
    <row r="18" spans="1:1" x14ac:dyDescent="0.2">
      <c r="A18" s="15"/>
    </row>
    <row r="19" spans="1:1" x14ac:dyDescent="0.2">
      <c r="A19" s="15"/>
    </row>
    <row r="20" spans="1:1" x14ac:dyDescent="0.2">
      <c r="A20" s="15"/>
    </row>
    <row r="21" spans="1:1" x14ac:dyDescent="0.2">
      <c r="A21" s="15"/>
    </row>
    <row r="22" spans="1:1" x14ac:dyDescent="0.2">
      <c r="A22" s="15"/>
    </row>
    <row r="23" spans="1:1" x14ac:dyDescent="0.2">
      <c r="A23" s="15"/>
    </row>
    <row r="24" spans="1:1" x14ac:dyDescent="0.2">
      <c r="A24" s="15"/>
    </row>
    <row r="25" spans="1:1" x14ac:dyDescent="0.2">
      <c r="A25" s="15"/>
    </row>
    <row r="26" spans="1:1" x14ac:dyDescent="0.2">
      <c r="A26" s="15"/>
    </row>
    <row r="27" spans="1:1" x14ac:dyDescent="0.2">
      <c r="A27" s="15" t="s">
        <v>519</v>
      </c>
    </row>
    <row r="28" spans="1:1" x14ac:dyDescent="0.2">
      <c r="A28" s="15"/>
    </row>
    <row r="29" spans="1:1" x14ac:dyDescent="0.2">
      <c r="A29" s="15"/>
    </row>
    <row r="30" spans="1:1" x14ac:dyDescent="0.2">
      <c r="A30" s="15"/>
    </row>
    <row r="31" spans="1:1" x14ac:dyDescent="0.2">
      <c r="A31" s="15"/>
    </row>
    <row r="32" spans="1:1" x14ac:dyDescent="0.2">
      <c r="A32" s="15"/>
    </row>
    <row r="33" spans="1:12" x14ac:dyDescent="0.2">
      <c r="A33" s="15"/>
    </row>
    <row r="34" spans="1:12" x14ac:dyDescent="0.2">
      <c r="A34" s="15"/>
    </row>
    <row r="35" spans="1:12" x14ac:dyDescent="0.2">
      <c r="A35" s="15"/>
    </row>
    <row r="36" spans="1:12" x14ac:dyDescent="0.2">
      <c r="A36" s="15"/>
    </row>
    <row r="37" spans="1:12" x14ac:dyDescent="0.2">
      <c r="A37" s="15"/>
    </row>
    <row r="38" spans="1:12" x14ac:dyDescent="0.2">
      <c r="A38" s="15"/>
    </row>
    <row r="39" spans="1:12" x14ac:dyDescent="0.2">
      <c r="A39" s="15"/>
    </row>
    <row r="40" spans="1:12" x14ac:dyDescent="0.2">
      <c r="A40" s="15"/>
    </row>
    <row r="41" spans="1:12" x14ac:dyDescent="0.2">
      <c r="A41" s="15"/>
    </row>
    <row r="42" spans="1:12" x14ac:dyDescent="0.2">
      <c r="A42" s="15"/>
    </row>
    <row r="43" spans="1:12" x14ac:dyDescent="0.2">
      <c r="A43" s="15"/>
    </row>
    <row r="44" spans="1:12" x14ac:dyDescent="0.2">
      <c r="A44" s="15"/>
    </row>
    <row r="45" spans="1:12" x14ac:dyDescent="0.2">
      <c r="A45" s="15"/>
    </row>
    <row r="46" spans="1:12" x14ac:dyDescent="0.2">
      <c r="A46" s="15" t="s">
        <v>514</v>
      </c>
    </row>
    <row r="48" spans="1:12" ht="13.5" thickBot="1" x14ac:dyDescent="0.25">
      <c r="A48" s="14" t="s">
        <v>504</v>
      </c>
      <c r="B48" s="16" t="s">
        <v>499</v>
      </c>
      <c r="C48" s="16"/>
      <c r="D48" s="16"/>
      <c r="E48" s="16" t="s">
        <v>500</v>
      </c>
      <c r="F48" s="16"/>
      <c r="G48" s="16"/>
      <c r="H48" s="16" t="s">
        <v>501</v>
      </c>
      <c r="I48" s="16"/>
      <c r="J48" s="16" t="s">
        <v>502</v>
      </c>
      <c r="K48" s="17"/>
      <c r="L48" s="16" t="s">
        <v>503</v>
      </c>
    </row>
    <row r="49" spans="1:12" ht="13.5" thickBot="1" x14ac:dyDescent="0.25">
      <c r="A49" s="11" t="s">
        <v>42</v>
      </c>
      <c r="B49" s="20" t="s">
        <v>43</v>
      </c>
      <c r="C49" s="21"/>
      <c r="D49" s="21"/>
      <c r="E49" s="22">
        <v>456</v>
      </c>
      <c r="F49" s="23"/>
      <c r="G49" s="24"/>
      <c r="H49" s="22">
        <v>233</v>
      </c>
      <c r="I49" s="22"/>
      <c r="J49" s="22">
        <v>238</v>
      </c>
      <c r="K49" s="22"/>
      <c r="L49" s="25">
        <v>1820</v>
      </c>
    </row>
    <row r="50" spans="1:12" x14ac:dyDescent="0.2">
      <c r="A50" s="11" t="s">
        <v>44</v>
      </c>
      <c r="B50" s="18" t="s">
        <v>45</v>
      </c>
      <c r="C50" s="18"/>
      <c r="D50" s="18"/>
      <c r="E50" s="19">
        <v>456</v>
      </c>
      <c r="F50" s="19"/>
      <c r="G50" s="19"/>
      <c r="H50" s="19">
        <v>234</v>
      </c>
      <c r="I50" s="19"/>
      <c r="J50" s="19">
        <v>238</v>
      </c>
      <c r="K50" s="19"/>
      <c r="L50" s="19">
        <v>2300</v>
      </c>
    </row>
    <row r="51" spans="1:12" x14ac:dyDescent="0.2">
      <c r="A51" s="13" t="s">
        <v>46</v>
      </c>
      <c r="B51" s="8" t="s">
        <v>47</v>
      </c>
      <c r="C51" s="8"/>
      <c r="D51" s="8"/>
      <c r="E51" s="8">
        <v>350</v>
      </c>
      <c r="F51" s="8"/>
      <c r="G51" s="8"/>
      <c r="H51" s="8">
        <v>189</v>
      </c>
      <c r="I51" s="8"/>
      <c r="J51" s="8">
        <v>225</v>
      </c>
      <c r="K51" s="8"/>
      <c r="L51" s="12">
        <v>650</v>
      </c>
    </row>
    <row r="52" spans="1:12" x14ac:dyDescent="0.2">
      <c r="A52" s="13" t="s">
        <v>48</v>
      </c>
      <c r="B52" s="8" t="s">
        <v>49</v>
      </c>
      <c r="C52" s="8"/>
      <c r="D52" s="8"/>
      <c r="E52" s="8">
        <v>500</v>
      </c>
      <c r="F52" s="8"/>
      <c r="G52" s="8"/>
      <c r="H52" s="8">
        <v>239</v>
      </c>
      <c r="I52" s="8"/>
      <c r="J52" s="8">
        <v>293</v>
      </c>
      <c r="K52" s="8"/>
      <c r="L52" s="12">
        <v>2100</v>
      </c>
    </row>
    <row r="53" spans="1:12" x14ac:dyDescent="0.2">
      <c r="A53" s="13" t="s">
        <v>50</v>
      </c>
      <c r="B53" s="8" t="s">
        <v>51</v>
      </c>
      <c r="C53" s="8"/>
      <c r="D53" s="8"/>
      <c r="E53" s="8">
        <v>375</v>
      </c>
      <c r="F53" s="8"/>
      <c r="G53" s="8"/>
      <c r="H53" s="8">
        <v>170</v>
      </c>
      <c r="I53" s="8"/>
      <c r="J53" s="8">
        <v>150</v>
      </c>
      <c r="K53" s="8"/>
      <c r="L53" s="12">
        <v>500</v>
      </c>
    </row>
    <row r="54" spans="1:12" x14ac:dyDescent="0.2">
      <c r="A54" s="13" t="s">
        <v>52</v>
      </c>
      <c r="B54" s="12" t="s">
        <v>53</v>
      </c>
      <c r="C54" s="12"/>
      <c r="D54" s="12"/>
      <c r="E54" s="8">
        <v>415</v>
      </c>
      <c r="F54" s="8"/>
      <c r="G54" s="8"/>
      <c r="H54" s="8">
        <v>170</v>
      </c>
      <c r="I54" s="8"/>
      <c r="J54" s="8">
        <v>187</v>
      </c>
      <c r="K54" s="8"/>
      <c r="L54" s="12">
        <v>500</v>
      </c>
    </row>
    <row r="55" spans="1:12" x14ac:dyDescent="0.2">
      <c r="A55" s="13" t="s">
        <v>54</v>
      </c>
      <c r="B55" s="12" t="s">
        <v>55</v>
      </c>
      <c r="C55" s="12"/>
      <c r="D55" s="12"/>
      <c r="E55" s="8">
        <v>788</v>
      </c>
      <c r="F55" s="8"/>
      <c r="G55" s="8"/>
      <c r="H55" s="8">
        <v>260</v>
      </c>
      <c r="I55" s="8"/>
      <c r="J55" s="8">
        <v>318</v>
      </c>
      <c r="K55" s="8"/>
      <c r="L55" s="12">
        <v>10000</v>
      </c>
    </row>
    <row r="56" spans="1:12" x14ac:dyDescent="0.2">
      <c r="A56" s="13" t="s">
        <v>56</v>
      </c>
      <c r="B56" s="12" t="s">
        <v>57</v>
      </c>
      <c r="C56" s="12"/>
      <c r="D56" s="12"/>
      <c r="E56" s="8">
        <v>342</v>
      </c>
      <c r="F56" s="8"/>
      <c r="G56" s="8"/>
      <c r="H56" s="8">
        <v>188</v>
      </c>
      <c r="I56" s="8"/>
      <c r="J56" s="8">
        <v>225</v>
      </c>
      <c r="K56" s="8"/>
      <c r="L56" s="8">
        <v>2470</v>
      </c>
    </row>
    <row r="57" spans="1:12" x14ac:dyDescent="0.2">
      <c r="A57" s="13" t="s">
        <v>58</v>
      </c>
      <c r="B57" s="12" t="s">
        <v>59</v>
      </c>
      <c r="C57" s="12"/>
      <c r="D57" s="12"/>
      <c r="E57" s="8">
        <v>350</v>
      </c>
      <c r="F57" s="8"/>
      <c r="G57" s="8"/>
      <c r="H57" s="8">
        <v>189</v>
      </c>
      <c r="I57" s="8"/>
      <c r="J57" s="8">
        <v>225</v>
      </c>
      <c r="K57" s="8"/>
      <c r="L57" s="12">
        <v>2500</v>
      </c>
    </row>
    <row r="58" spans="1:12" x14ac:dyDescent="0.2">
      <c r="A58" s="13" t="s">
        <v>60</v>
      </c>
      <c r="B58" s="12" t="s">
        <v>61</v>
      </c>
      <c r="C58" s="12"/>
      <c r="D58" s="12"/>
      <c r="E58" s="8">
        <v>757</v>
      </c>
      <c r="F58" s="8"/>
      <c r="G58" s="8"/>
      <c r="H58" s="8">
        <v>250</v>
      </c>
      <c r="I58" s="8"/>
      <c r="J58" s="8">
        <v>369</v>
      </c>
      <c r="K58" s="8"/>
      <c r="L58" s="12">
        <v>8000</v>
      </c>
    </row>
    <row r="59" spans="1:12" x14ac:dyDescent="0.2">
      <c r="A59" s="13" t="s">
        <v>62</v>
      </c>
      <c r="B59" s="12" t="s">
        <v>63</v>
      </c>
      <c r="C59" s="12"/>
      <c r="D59" s="12"/>
      <c r="E59" s="8">
        <v>429</v>
      </c>
      <c r="F59" s="8"/>
      <c r="G59" s="8"/>
      <c r="H59" s="8">
        <v>185</v>
      </c>
      <c r="I59" s="8"/>
      <c r="J59" s="8">
        <v>208</v>
      </c>
      <c r="K59" s="8"/>
      <c r="L59" s="12">
        <v>3000</v>
      </c>
    </row>
    <row r="60" spans="1:12" x14ac:dyDescent="0.2">
      <c r="A60" s="13" t="s">
        <v>64</v>
      </c>
      <c r="B60" s="12" t="s">
        <v>65</v>
      </c>
      <c r="C60" s="12"/>
      <c r="D60" s="12"/>
      <c r="E60" s="8">
        <v>494</v>
      </c>
      <c r="F60" s="8"/>
      <c r="G60" s="8"/>
      <c r="H60" s="8">
        <v>186</v>
      </c>
      <c r="I60" s="8"/>
      <c r="J60" s="8">
        <v>212</v>
      </c>
      <c r="K60" s="8"/>
      <c r="L60" s="8">
        <v>700</v>
      </c>
    </row>
    <row r="61" spans="1:12" x14ac:dyDescent="0.2">
      <c r="A61" s="13" t="s">
        <v>66</v>
      </c>
      <c r="B61" s="12" t="s">
        <v>67</v>
      </c>
      <c r="C61" s="12"/>
      <c r="D61" s="12"/>
      <c r="E61" s="8">
        <v>788</v>
      </c>
      <c r="F61" s="8"/>
      <c r="G61" s="8"/>
      <c r="H61" s="8">
        <v>260</v>
      </c>
      <c r="I61" s="8"/>
      <c r="J61" s="8">
        <v>348</v>
      </c>
      <c r="K61" s="8"/>
      <c r="L61" s="12">
        <v>6500</v>
      </c>
    </row>
    <row r="62" spans="1:12" x14ac:dyDescent="0.2">
      <c r="A62" s="13" t="s">
        <v>68</v>
      </c>
      <c r="B62" s="12" t="s">
        <v>69</v>
      </c>
      <c r="C62" s="12"/>
      <c r="D62" s="12"/>
      <c r="E62" s="8">
        <v>527</v>
      </c>
      <c r="F62" s="8"/>
      <c r="G62" s="8"/>
      <c r="H62" s="8">
        <v>248</v>
      </c>
      <c r="I62" s="8"/>
      <c r="J62" s="8">
        <v>216</v>
      </c>
      <c r="K62" s="8"/>
      <c r="L62" s="12">
        <v>2900</v>
      </c>
    </row>
    <row r="63" spans="1:12" x14ac:dyDescent="0.2">
      <c r="A63" s="13" t="s">
        <v>70</v>
      </c>
      <c r="B63" s="12" t="s">
        <v>71</v>
      </c>
      <c r="C63" s="12"/>
      <c r="D63" s="12"/>
      <c r="E63" s="8">
        <v>384</v>
      </c>
      <c r="F63" s="8"/>
      <c r="G63" s="8"/>
      <c r="H63" s="8">
        <v>215</v>
      </c>
      <c r="I63" s="8"/>
      <c r="J63" s="8">
        <v>143</v>
      </c>
      <c r="K63" s="8"/>
      <c r="L63" s="12">
        <v>2200</v>
      </c>
    </row>
    <row r="64" spans="1:12" x14ac:dyDescent="0.2">
      <c r="A64" s="13" t="s">
        <v>72</v>
      </c>
      <c r="B64" s="12" t="s">
        <v>73</v>
      </c>
      <c r="C64" s="12"/>
      <c r="D64" s="12"/>
      <c r="E64" s="8">
        <v>510</v>
      </c>
      <c r="F64" s="8"/>
      <c r="G64" s="8"/>
      <c r="H64" s="8">
        <v>240</v>
      </c>
      <c r="I64" s="8"/>
      <c r="J64" s="8">
        <v>278</v>
      </c>
      <c r="K64" s="8"/>
      <c r="L64" s="12">
        <v>1500</v>
      </c>
    </row>
    <row r="65" spans="1:12" x14ac:dyDescent="0.2">
      <c r="A65" s="13" t="s">
        <v>74</v>
      </c>
      <c r="B65" s="12" t="s">
        <v>75</v>
      </c>
      <c r="C65" s="12"/>
      <c r="D65" s="12"/>
      <c r="E65" s="12">
        <v>534</v>
      </c>
      <c r="F65" s="12"/>
      <c r="G65" s="12"/>
      <c r="H65" s="12">
        <v>223</v>
      </c>
      <c r="I65" s="12"/>
      <c r="J65" s="12">
        <v>220</v>
      </c>
      <c r="K65" s="12"/>
      <c r="L65" s="12">
        <v>2290</v>
      </c>
    </row>
    <row r="66" spans="1:12" x14ac:dyDescent="0.2">
      <c r="A66" s="13" t="s">
        <v>76</v>
      </c>
      <c r="B66" s="12" t="s">
        <v>77</v>
      </c>
      <c r="C66" s="12"/>
      <c r="D66" s="12"/>
      <c r="E66" s="12">
        <v>550</v>
      </c>
      <c r="F66" s="12"/>
      <c r="G66" s="12"/>
      <c r="H66" s="12">
        <v>228</v>
      </c>
      <c r="I66" s="12"/>
      <c r="J66" s="12">
        <v>300</v>
      </c>
      <c r="K66" s="12"/>
      <c r="L66" s="12">
        <v>12000</v>
      </c>
    </row>
    <row r="67" spans="1:12" x14ac:dyDescent="0.2">
      <c r="A67" s="13" t="s">
        <v>78</v>
      </c>
      <c r="B67" s="12" t="s">
        <v>79</v>
      </c>
      <c r="C67" s="12"/>
      <c r="D67" s="12"/>
      <c r="E67" s="12">
        <v>590</v>
      </c>
      <c r="F67" s="12"/>
      <c r="G67" s="12"/>
      <c r="H67" s="12">
        <v>226</v>
      </c>
      <c r="I67" s="12"/>
      <c r="J67" s="12">
        <v>233</v>
      </c>
      <c r="K67" s="12"/>
      <c r="L67" s="12">
        <v>4240</v>
      </c>
    </row>
    <row r="68" spans="1:12" x14ac:dyDescent="0.2">
      <c r="A68" s="13" t="s">
        <v>80</v>
      </c>
      <c r="B68" s="12" t="s">
        <v>81</v>
      </c>
      <c r="C68" s="12"/>
      <c r="D68" s="12"/>
      <c r="E68" s="12">
        <v>905</v>
      </c>
      <c r="F68" s="12"/>
      <c r="G68" s="12"/>
      <c r="H68" s="12">
        <v>254</v>
      </c>
      <c r="I68" s="12"/>
      <c r="J68" s="12">
        <v>300</v>
      </c>
      <c r="K68" s="12"/>
      <c r="L68" s="12">
        <v>16000</v>
      </c>
    </row>
    <row r="69" spans="1:12" x14ac:dyDescent="0.2">
      <c r="A69" s="13" t="s">
        <v>82</v>
      </c>
      <c r="B69" s="12" t="s">
        <v>83</v>
      </c>
      <c r="C69" s="12"/>
      <c r="D69" s="12"/>
      <c r="E69" s="12">
        <v>888</v>
      </c>
      <c r="F69" s="12"/>
      <c r="G69" s="12"/>
      <c r="H69" s="12">
        <v>250</v>
      </c>
      <c r="I69" s="12"/>
      <c r="J69" s="12">
        <v>358</v>
      </c>
      <c r="K69" s="12"/>
      <c r="L69" s="12">
        <v>14000</v>
      </c>
    </row>
    <row r="70" spans="1:12" x14ac:dyDescent="0.2">
      <c r="A70" s="13" t="s">
        <v>84</v>
      </c>
      <c r="B70" s="8" t="s">
        <v>85</v>
      </c>
      <c r="C70" s="8"/>
      <c r="D70" s="8"/>
      <c r="E70" s="12">
        <v>750</v>
      </c>
      <c r="F70" s="12"/>
      <c r="G70" s="12"/>
      <c r="H70" s="12">
        <v>341</v>
      </c>
      <c r="I70" s="12"/>
      <c r="J70" s="12">
        <v>360</v>
      </c>
      <c r="K70" s="12"/>
      <c r="L70" s="12">
        <v>44000</v>
      </c>
    </row>
    <row r="71" spans="1:12" x14ac:dyDescent="0.2">
      <c r="A71" s="13" t="s">
        <v>86</v>
      </c>
      <c r="B71" s="8" t="s">
        <v>87</v>
      </c>
      <c r="C71" s="8"/>
      <c r="D71" s="8"/>
      <c r="E71" s="12">
        <v>772</v>
      </c>
      <c r="F71" s="12"/>
      <c r="G71" s="12"/>
      <c r="H71" s="12">
        <v>267</v>
      </c>
      <c r="I71" s="12"/>
      <c r="J71" s="12">
        <v>329</v>
      </c>
      <c r="K71" s="12"/>
      <c r="L71" s="12">
        <v>15800</v>
      </c>
    </row>
    <row r="72" spans="1:12" x14ac:dyDescent="0.2">
      <c r="A72" s="13" t="s">
        <v>88</v>
      </c>
      <c r="B72" s="8" t="s">
        <v>89</v>
      </c>
      <c r="C72" s="8"/>
      <c r="D72" s="8"/>
      <c r="E72" s="12">
        <v>862</v>
      </c>
      <c r="F72" s="12"/>
      <c r="G72" s="12"/>
      <c r="H72" s="12">
        <v>300</v>
      </c>
      <c r="I72" s="12"/>
      <c r="J72" s="12">
        <v>297</v>
      </c>
      <c r="K72" s="12"/>
      <c r="L72" s="12">
        <v>33000</v>
      </c>
    </row>
    <row r="73" spans="1:12" x14ac:dyDescent="0.2">
      <c r="A73" s="13" t="s">
        <v>90</v>
      </c>
      <c r="B73" s="8" t="s">
        <v>91</v>
      </c>
      <c r="C73" s="8"/>
      <c r="D73" s="8"/>
      <c r="E73" s="12">
        <v>790</v>
      </c>
      <c r="F73" s="12"/>
      <c r="G73" s="12"/>
      <c r="H73" s="12">
        <v>300</v>
      </c>
      <c r="I73" s="12"/>
      <c r="J73" s="12">
        <v>321</v>
      </c>
      <c r="K73" s="12"/>
      <c r="L73" s="12">
        <v>35000</v>
      </c>
    </row>
    <row r="74" spans="1:12" x14ac:dyDescent="0.2">
      <c r="A74" s="13" t="s">
        <v>92</v>
      </c>
      <c r="B74" s="8" t="s">
        <v>93</v>
      </c>
      <c r="C74" s="8"/>
      <c r="D74" s="8"/>
      <c r="E74" s="12">
        <v>750</v>
      </c>
      <c r="F74" s="12"/>
      <c r="G74" s="12"/>
      <c r="H74" s="12">
        <v>300</v>
      </c>
      <c r="I74" s="12"/>
      <c r="J74" s="12">
        <v>321</v>
      </c>
      <c r="K74" s="12"/>
      <c r="L74" s="12">
        <v>33000</v>
      </c>
    </row>
    <row r="75" spans="1:12" x14ac:dyDescent="0.2">
      <c r="A75" s="13" t="s">
        <v>94</v>
      </c>
      <c r="B75" s="8" t="s">
        <v>95</v>
      </c>
      <c r="C75" s="8"/>
      <c r="D75" s="8"/>
      <c r="E75" s="12">
        <v>750</v>
      </c>
      <c r="F75" s="12"/>
      <c r="G75" s="12"/>
      <c r="H75" s="12">
        <v>300</v>
      </c>
      <c r="I75" s="12"/>
      <c r="J75" s="12">
        <v>338</v>
      </c>
      <c r="K75" s="12"/>
      <c r="L75" s="12">
        <v>33000</v>
      </c>
    </row>
    <row r="76" spans="1:12" x14ac:dyDescent="0.2">
      <c r="A76" s="13" t="s">
        <v>96</v>
      </c>
      <c r="B76" s="8" t="s">
        <v>97</v>
      </c>
      <c r="C76" s="8"/>
      <c r="D76" s="8"/>
      <c r="E76" s="12">
        <v>894</v>
      </c>
      <c r="F76" s="12"/>
      <c r="G76" s="12"/>
      <c r="H76" s="12">
        <v>300</v>
      </c>
      <c r="I76" s="12"/>
      <c r="J76" s="12">
        <v>332</v>
      </c>
      <c r="K76" s="12"/>
      <c r="L76" s="12">
        <v>34000</v>
      </c>
    </row>
    <row r="77" spans="1:12" x14ac:dyDescent="0.2">
      <c r="A77" s="13" t="s">
        <v>98</v>
      </c>
      <c r="B77" s="8" t="s">
        <v>99</v>
      </c>
      <c r="C77" s="8"/>
      <c r="D77" s="8"/>
      <c r="E77" s="12">
        <v>837</v>
      </c>
      <c r="F77" s="12"/>
      <c r="G77" s="12"/>
      <c r="H77" s="12">
        <v>300</v>
      </c>
      <c r="I77" s="12"/>
      <c r="J77" s="12">
        <v>321</v>
      </c>
      <c r="K77" s="12"/>
      <c r="L77" s="12">
        <v>33000</v>
      </c>
    </row>
    <row r="78" spans="1:12" x14ac:dyDescent="0.2">
      <c r="A78" s="13" t="s">
        <v>100</v>
      </c>
      <c r="B78" s="8" t="s">
        <v>101</v>
      </c>
      <c r="C78" s="8"/>
      <c r="D78" s="8"/>
      <c r="E78" s="12">
        <v>800</v>
      </c>
      <c r="F78" s="12"/>
      <c r="G78" s="12"/>
      <c r="H78" s="12">
        <v>300</v>
      </c>
      <c r="I78" s="12"/>
      <c r="J78" s="12">
        <v>350</v>
      </c>
      <c r="K78" s="12"/>
      <c r="L78" s="12">
        <v>33500</v>
      </c>
    </row>
    <row r="79" spans="1:12" x14ac:dyDescent="0.2">
      <c r="A79" s="13" t="s">
        <v>102</v>
      </c>
      <c r="B79" s="12" t="s">
        <v>103</v>
      </c>
      <c r="C79" s="12"/>
      <c r="D79" s="12"/>
      <c r="E79" s="8">
        <v>300</v>
      </c>
      <c r="F79" s="8"/>
      <c r="G79" s="8"/>
      <c r="H79" s="8">
        <v>300</v>
      </c>
      <c r="I79" s="8"/>
      <c r="J79" s="8">
        <v>220</v>
      </c>
      <c r="K79" s="8"/>
      <c r="L79" s="8">
        <v>2500</v>
      </c>
    </row>
    <row r="80" spans="1:12" x14ac:dyDescent="0.2">
      <c r="A80" s="13" t="s">
        <v>104</v>
      </c>
      <c r="B80" s="12" t="s">
        <v>105</v>
      </c>
      <c r="C80" s="12"/>
      <c r="D80" s="12"/>
      <c r="E80" s="8">
        <v>300</v>
      </c>
      <c r="F80" s="8"/>
      <c r="G80" s="8"/>
      <c r="H80" s="8">
        <v>300</v>
      </c>
      <c r="I80" s="8"/>
      <c r="J80" s="8">
        <v>220</v>
      </c>
      <c r="K80" s="8"/>
      <c r="L80" s="8">
        <v>1270</v>
      </c>
    </row>
    <row r="81" spans="1:12" x14ac:dyDescent="0.2">
      <c r="A81" s="13" t="s">
        <v>106</v>
      </c>
      <c r="B81" s="12" t="s">
        <v>107</v>
      </c>
      <c r="C81" s="12"/>
      <c r="D81" s="12"/>
      <c r="E81" s="8">
        <v>596</v>
      </c>
      <c r="F81" s="8"/>
      <c r="G81" s="8"/>
      <c r="H81" s="8">
        <v>280</v>
      </c>
      <c r="I81" s="8"/>
      <c r="J81" s="8">
        <v>215</v>
      </c>
      <c r="K81" s="8"/>
      <c r="L81" s="8">
        <v>5960</v>
      </c>
    </row>
    <row r="82" spans="1:12" x14ac:dyDescent="0.2">
      <c r="A82" s="13" t="s">
        <v>108</v>
      </c>
      <c r="B82" s="12" t="s">
        <v>109</v>
      </c>
      <c r="C82" s="12"/>
      <c r="D82" s="12"/>
      <c r="E82" s="8">
        <v>386</v>
      </c>
      <c r="F82" s="8"/>
      <c r="G82" s="8"/>
      <c r="H82" s="8">
        <v>196</v>
      </c>
      <c r="I82" s="8"/>
      <c r="J82" s="8">
        <v>215</v>
      </c>
      <c r="K82" s="8"/>
      <c r="L82" s="8">
        <v>4680</v>
      </c>
    </row>
    <row r="83" spans="1:12" x14ac:dyDescent="0.2">
      <c r="A83" s="13" t="s">
        <v>110</v>
      </c>
      <c r="B83" s="8" t="s">
        <v>110</v>
      </c>
      <c r="C83" s="8"/>
      <c r="D83" s="8"/>
      <c r="E83" s="8">
        <v>704</v>
      </c>
      <c r="F83" s="8"/>
      <c r="G83" s="8"/>
      <c r="H83" s="8">
        <v>302</v>
      </c>
      <c r="I83" s="8"/>
      <c r="J83" s="8">
        <v>233</v>
      </c>
      <c r="K83" s="8"/>
      <c r="L83" s="8">
        <v>6000</v>
      </c>
    </row>
    <row r="84" spans="1:12" x14ac:dyDescent="0.2">
      <c r="A84" s="13" t="s">
        <v>111</v>
      </c>
      <c r="B84" s="8" t="s">
        <v>112</v>
      </c>
      <c r="C84" s="8"/>
      <c r="D84" s="8"/>
      <c r="E84" s="8">
        <v>796</v>
      </c>
      <c r="F84" s="8"/>
      <c r="G84" s="8"/>
      <c r="H84" s="8">
        <v>349</v>
      </c>
      <c r="I84" s="8"/>
      <c r="J84" s="8">
        <v>237</v>
      </c>
      <c r="K84" s="8"/>
      <c r="L84" s="8">
        <v>9000</v>
      </c>
    </row>
    <row r="85" spans="1:12" x14ac:dyDescent="0.2">
      <c r="A85" s="13" t="s">
        <v>113</v>
      </c>
      <c r="B85" s="12" t="s">
        <v>114</v>
      </c>
      <c r="C85" s="12"/>
      <c r="D85" s="12"/>
      <c r="E85" s="8">
        <v>1200</v>
      </c>
      <c r="F85" s="8"/>
      <c r="G85" s="8"/>
      <c r="H85" s="8">
        <v>400</v>
      </c>
      <c r="I85" s="8"/>
      <c r="J85" s="8">
        <v>301</v>
      </c>
      <c r="K85" s="8"/>
      <c r="L85" s="8">
        <v>15000</v>
      </c>
    </row>
    <row r="86" spans="1:12" x14ac:dyDescent="0.2">
      <c r="A86" s="13" t="s">
        <v>115</v>
      </c>
      <c r="B86" s="8" t="s">
        <v>116</v>
      </c>
      <c r="C86" s="8"/>
      <c r="D86" s="8"/>
      <c r="E86" s="8">
        <v>1100</v>
      </c>
      <c r="F86" s="8"/>
      <c r="G86" s="8"/>
      <c r="H86" s="8">
        <v>200</v>
      </c>
      <c r="I86" s="8"/>
      <c r="J86" s="8">
        <v>98</v>
      </c>
      <c r="K86" s="8"/>
      <c r="L86" s="8">
        <v>2500</v>
      </c>
    </row>
    <row r="87" spans="1:12" x14ac:dyDescent="0.2">
      <c r="A87" s="13" t="s">
        <v>117</v>
      </c>
      <c r="B87" s="8" t="s">
        <v>118</v>
      </c>
      <c r="C87" s="8"/>
      <c r="D87" s="8"/>
      <c r="E87" s="8">
        <v>1100</v>
      </c>
      <c r="F87" s="8"/>
      <c r="G87" s="8"/>
      <c r="H87" s="8">
        <v>200</v>
      </c>
      <c r="I87" s="8"/>
      <c r="J87" s="8">
        <v>98</v>
      </c>
      <c r="K87" s="8"/>
      <c r="L87" s="8">
        <v>2500</v>
      </c>
    </row>
    <row r="88" spans="1:12" x14ac:dyDescent="0.2">
      <c r="A88" s="13" t="s">
        <v>119</v>
      </c>
      <c r="B88" s="8" t="s">
        <v>120</v>
      </c>
      <c r="C88" s="8"/>
      <c r="D88" s="8"/>
      <c r="E88" s="8">
        <v>718</v>
      </c>
      <c r="F88" s="8"/>
      <c r="G88" s="8"/>
      <c r="H88" s="8">
        <v>248</v>
      </c>
      <c r="I88" s="8"/>
      <c r="J88" s="8">
        <v>265</v>
      </c>
      <c r="K88" s="8"/>
      <c r="L88" s="8">
        <v>15000</v>
      </c>
    </row>
    <row r="89" spans="1:12" x14ac:dyDescent="0.2">
      <c r="A89" s="13" t="s">
        <v>121</v>
      </c>
      <c r="B89" s="8" t="s">
        <v>122</v>
      </c>
      <c r="C89" s="8"/>
      <c r="D89" s="8"/>
      <c r="E89" s="8">
        <v>718</v>
      </c>
      <c r="F89" s="8"/>
      <c r="G89" s="8"/>
      <c r="H89" s="8">
        <v>248</v>
      </c>
      <c r="I89" s="8"/>
      <c r="J89" s="8">
        <v>322</v>
      </c>
      <c r="K89" s="8"/>
      <c r="L89" s="8">
        <v>14000</v>
      </c>
    </row>
    <row r="90" spans="1:12" x14ac:dyDescent="0.2">
      <c r="A90" s="13" t="s">
        <v>123</v>
      </c>
      <c r="B90" s="8" t="s">
        <v>124</v>
      </c>
      <c r="C90" s="8"/>
      <c r="D90" s="8"/>
      <c r="E90" s="8">
        <v>718</v>
      </c>
      <c r="F90" s="8"/>
      <c r="G90" s="8"/>
      <c r="H90" s="8">
        <v>248</v>
      </c>
      <c r="I90" s="8"/>
      <c r="J90" s="8">
        <v>326</v>
      </c>
      <c r="K90" s="8"/>
      <c r="L90" s="8">
        <v>15000</v>
      </c>
    </row>
    <row r="91" spans="1:12" x14ac:dyDescent="0.2">
      <c r="A91" s="13" t="s">
        <v>125</v>
      </c>
      <c r="B91" s="8" t="s">
        <v>126</v>
      </c>
      <c r="C91" s="8"/>
      <c r="D91" s="8"/>
      <c r="E91" s="12">
        <v>720</v>
      </c>
      <c r="F91" s="12"/>
      <c r="G91" s="12"/>
      <c r="H91" s="12">
        <v>248</v>
      </c>
      <c r="I91" s="12"/>
      <c r="J91" s="8">
        <v>368</v>
      </c>
      <c r="K91" s="8"/>
      <c r="L91" s="12">
        <v>13000</v>
      </c>
    </row>
    <row r="92" spans="1:12" x14ac:dyDescent="0.2">
      <c r="A92" s="13" t="s">
        <v>127</v>
      </c>
      <c r="B92" s="8" t="s">
        <v>128</v>
      </c>
      <c r="C92" s="8"/>
      <c r="D92" s="8"/>
      <c r="E92" s="12">
        <v>718</v>
      </c>
      <c r="F92" s="12"/>
      <c r="G92" s="12"/>
      <c r="H92" s="12">
        <v>248</v>
      </c>
      <c r="I92" s="12"/>
      <c r="J92" s="8">
        <v>277</v>
      </c>
      <c r="K92" s="8"/>
      <c r="L92" s="12">
        <v>15000</v>
      </c>
    </row>
    <row r="93" spans="1:12" x14ac:dyDescent="0.2">
      <c r="A93" s="13" t="s">
        <v>129</v>
      </c>
      <c r="B93" s="12" t="s">
        <v>130</v>
      </c>
      <c r="C93" s="12"/>
      <c r="D93" s="12"/>
      <c r="E93" s="12">
        <v>720</v>
      </c>
      <c r="F93" s="12"/>
      <c r="G93" s="12"/>
      <c r="H93" s="12">
        <v>248</v>
      </c>
      <c r="I93" s="12"/>
      <c r="J93" s="8">
        <v>286</v>
      </c>
      <c r="K93" s="8"/>
      <c r="L93" s="12">
        <v>13000</v>
      </c>
    </row>
    <row r="94" spans="1:12" x14ac:dyDescent="0.2">
      <c r="A94" s="13" t="s">
        <v>131</v>
      </c>
      <c r="B94" s="8" t="s">
        <v>132</v>
      </c>
      <c r="C94" s="8"/>
      <c r="D94" s="8"/>
      <c r="E94" s="12">
        <v>690</v>
      </c>
      <c r="F94" s="12"/>
      <c r="G94" s="12"/>
      <c r="H94" s="12">
        <v>187</v>
      </c>
      <c r="I94" s="12"/>
      <c r="J94" s="8">
        <v>270</v>
      </c>
      <c r="K94" s="8"/>
      <c r="L94" s="12">
        <v>7080</v>
      </c>
    </row>
    <row r="95" spans="1:12" x14ac:dyDescent="0.2">
      <c r="A95" s="13" t="s">
        <v>133</v>
      </c>
      <c r="B95" s="12" t="s">
        <v>134</v>
      </c>
      <c r="C95" s="12"/>
      <c r="D95" s="12"/>
      <c r="E95" s="12">
        <v>770</v>
      </c>
      <c r="F95" s="12"/>
      <c r="G95" s="12"/>
      <c r="H95" s="12">
        <v>210</v>
      </c>
      <c r="I95" s="12"/>
      <c r="J95" s="8">
        <v>275</v>
      </c>
      <c r="K95" s="8"/>
      <c r="L95" s="12">
        <v>10500</v>
      </c>
    </row>
    <row r="96" spans="1:12" x14ac:dyDescent="0.2">
      <c r="A96" s="13" t="s">
        <v>135</v>
      </c>
      <c r="B96" s="12" t="s">
        <v>136</v>
      </c>
      <c r="C96" s="12"/>
      <c r="D96" s="12"/>
      <c r="E96" s="12">
        <v>595</v>
      </c>
      <c r="F96" s="12"/>
      <c r="G96" s="12"/>
      <c r="H96" s="12">
        <v>265</v>
      </c>
      <c r="I96" s="12"/>
      <c r="J96" s="8">
        <v>330</v>
      </c>
      <c r="K96" s="8"/>
      <c r="L96" s="12">
        <v>23000</v>
      </c>
    </row>
    <row r="97" spans="1:12" x14ac:dyDescent="0.2">
      <c r="A97" s="13" t="s">
        <v>137</v>
      </c>
      <c r="B97" s="12" t="s">
        <v>138</v>
      </c>
      <c r="C97" s="12"/>
      <c r="D97" s="12"/>
      <c r="E97" s="8">
        <v>676</v>
      </c>
      <c r="F97" s="8"/>
      <c r="G97" s="8"/>
      <c r="H97" s="8">
        <v>265</v>
      </c>
      <c r="I97" s="8"/>
      <c r="J97" s="8">
        <v>330</v>
      </c>
      <c r="K97" s="8"/>
      <c r="L97" s="8">
        <v>23000</v>
      </c>
    </row>
    <row r="98" spans="1:12" x14ac:dyDescent="0.2">
      <c r="A98" s="13" t="s">
        <v>139</v>
      </c>
      <c r="B98" s="12" t="s">
        <v>140</v>
      </c>
      <c r="C98" s="12"/>
      <c r="D98" s="12"/>
      <c r="E98" s="8">
        <v>670</v>
      </c>
      <c r="F98" s="8"/>
      <c r="G98" s="8"/>
      <c r="H98" s="8">
        <v>326</v>
      </c>
      <c r="I98" s="8"/>
      <c r="J98" s="8">
        <v>335</v>
      </c>
      <c r="K98" s="8"/>
      <c r="L98" s="8">
        <v>22000</v>
      </c>
    </row>
    <row r="99" spans="1:12" x14ac:dyDescent="0.2">
      <c r="A99" s="13" t="s">
        <v>141</v>
      </c>
      <c r="B99" s="12" t="s">
        <v>141</v>
      </c>
      <c r="C99" s="12"/>
      <c r="D99" s="12"/>
      <c r="E99" s="8">
        <v>500</v>
      </c>
      <c r="F99" s="8"/>
      <c r="G99" s="8"/>
      <c r="H99" s="8">
        <v>223</v>
      </c>
      <c r="I99" s="8"/>
      <c r="J99" s="8">
        <v>274</v>
      </c>
      <c r="K99" s="8"/>
      <c r="L99" s="8">
        <v>6000</v>
      </c>
    </row>
    <row r="100" spans="1:12" x14ac:dyDescent="0.2">
      <c r="A100" s="13" t="s">
        <v>142</v>
      </c>
      <c r="B100" s="8" t="s">
        <v>143</v>
      </c>
      <c r="C100" s="8"/>
      <c r="D100" s="8"/>
      <c r="E100" s="8">
        <v>680</v>
      </c>
      <c r="F100" s="8"/>
      <c r="G100" s="8"/>
      <c r="H100" s="8">
        <v>320</v>
      </c>
      <c r="I100" s="8"/>
      <c r="J100" s="8">
        <v>280</v>
      </c>
      <c r="K100" s="8"/>
      <c r="L100" s="8">
        <v>35000</v>
      </c>
    </row>
    <row r="101" spans="1:12" x14ac:dyDescent="0.2">
      <c r="A101" s="13" t="s">
        <v>144</v>
      </c>
      <c r="B101" s="8" t="s">
        <v>145</v>
      </c>
      <c r="C101" s="8"/>
      <c r="D101" s="8"/>
      <c r="E101" s="8">
        <v>728</v>
      </c>
      <c r="F101" s="8"/>
      <c r="G101" s="8"/>
      <c r="H101" s="8">
        <v>329</v>
      </c>
      <c r="I101" s="8"/>
      <c r="J101" s="8">
        <v>291</v>
      </c>
      <c r="K101" s="8"/>
      <c r="L101" s="8">
        <v>33000</v>
      </c>
    </row>
    <row r="102" spans="1:12" x14ac:dyDescent="0.2">
      <c r="A102" s="13" t="s">
        <v>146</v>
      </c>
      <c r="B102" s="8" t="s">
        <v>147</v>
      </c>
      <c r="C102" s="8"/>
      <c r="D102" s="8"/>
      <c r="E102" s="8">
        <v>682</v>
      </c>
      <c r="F102" s="8"/>
      <c r="G102" s="8"/>
      <c r="H102" s="8">
        <v>322</v>
      </c>
      <c r="I102" s="8"/>
      <c r="J102" s="8">
        <v>303</v>
      </c>
      <c r="K102" s="8"/>
      <c r="L102" s="8">
        <v>28800</v>
      </c>
    </row>
    <row r="103" spans="1:12" x14ac:dyDescent="0.2">
      <c r="A103" s="13" t="s">
        <v>148</v>
      </c>
      <c r="B103" s="12" t="s">
        <v>149</v>
      </c>
      <c r="C103" s="12"/>
      <c r="D103" s="12"/>
      <c r="E103" s="8">
        <v>623</v>
      </c>
      <c r="F103" s="8"/>
      <c r="G103" s="8"/>
      <c r="H103" s="8">
        <v>239</v>
      </c>
      <c r="I103" s="8"/>
      <c r="J103" s="8">
        <v>330</v>
      </c>
      <c r="K103" s="8"/>
      <c r="L103" s="8">
        <v>13000</v>
      </c>
    </row>
    <row r="104" spans="1:12" x14ac:dyDescent="0.2">
      <c r="A104" s="13" t="s">
        <v>150</v>
      </c>
      <c r="B104" s="8" t="s">
        <v>150</v>
      </c>
      <c r="C104" s="8"/>
      <c r="D104" s="8"/>
      <c r="E104" s="8">
        <v>571</v>
      </c>
      <c r="F104" s="8"/>
      <c r="G104" s="8"/>
      <c r="H104" s="8">
        <v>320</v>
      </c>
      <c r="I104" s="8"/>
      <c r="J104" s="8">
        <v>239</v>
      </c>
      <c r="K104" s="8"/>
      <c r="L104" s="8">
        <v>6000</v>
      </c>
    </row>
    <row r="105" spans="1:12" x14ac:dyDescent="0.2">
      <c r="A105" s="13" t="s">
        <v>151</v>
      </c>
      <c r="B105" s="8" t="s">
        <v>152</v>
      </c>
      <c r="C105" s="8"/>
      <c r="D105" s="8"/>
      <c r="E105" s="8">
        <v>666</v>
      </c>
      <c r="F105" s="8"/>
      <c r="G105" s="8"/>
      <c r="H105" s="8">
        <v>349</v>
      </c>
      <c r="I105" s="8"/>
      <c r="J105" s="8">
        <v>233</v>
      </c>
      <c r="K105" s="8"/>
      <c r="L105" s="8">
        <v>9000</v>
      </c>
    </row>
    <row r="106" spans="1:12" x14ac:dyDescent="0.2">
      <c r="A106" s="13" t="s">
        <v>153</v>
      </c>
      <c r="B106" s="12" t="s">
        <v>154</v>
      </c>
      <c r="C106" s="12"/>
      <c r="D106" s="12"/>
      <c r="E106" s="8">
        <v>422</v>
      </c>
      <c r="F106" s="8"/>
      <c r="G106" s="8"/>
      <c r="H106" s="8">
        <v>185</v>
      </c>
      <c r="I106" s="8"/>
      <c r="J106" s="8">
        <v>225</v>
      </c>
      <c r="K106" s="8"/>
      <c r="L106" s="8">
        <v>5000</v>
      </c>
    </row>
    <row r="107" spans="1:12" x14ac:dyDescent="0.2">
      <c r="A107" s="13" t="s">
        <v>155</v>
      </c>
      <c r="B107" s="12" t="s">
        <v>156</v>
      </c>
      <c r="C107" s="12"/>
      <c r="D107" s="12"/>
      <c r="E107" s="8">
        <v>559</v>
      </c>
      <c r="F107" s="8"/>
      <c r="G107" s="8"/>
      <c r="H107" s="8">
        <v>255</v>
      </c>
      <c r="I107" s="8"/>
      <c r="J107" s="8">
        <v>230</v>
      </c>
      <c r="K107" s="8"/>
      <c r="L107" s="8">
        <v>11000</v>
      </c>
    </row>
    <row r="108" spans="1:12" x14ac:dyDescent="0.2">
      <c r="A108" s="13" t="s">
        <v>157</v>
      </c>
      <c r="B108" s="8" t="s">
        <v>157</v>
      </c>
      <c r="C108" s="8"/>
      <c r="D108" s="8"/>
      <c r="E108" s="8">
        <v>648</v>
      </c>
      <c r="F108" s="8"/>
      <c r="G108" s="8"/>
      <c r="H108" s="8">
        <v>349</v>
      </c>
      <c r="I108" s="8"/>
      <c r="J108" s="8">
        <v>285</v>
      </c>
      <c r="K108" s="8"/>
      <c r="L108" s="8">
        <v>3000</v>
      </c>
    </row>
    <row r="109" spans="1:12" x14ac:dyDescent="0.2">
      <c r="A109" s="13" t="s">
        <v>158</v>
      </c>
      <c r="B109" s="8" t="s">
        <v>158</v>
      </c>
      <c r="C109" s="8"/>
      <c r="D109" s="8"/>
      <c r="E109" s="8">
        <v>606</v>
      </c>
      <c r="F109" s="8"/>
      <c r="G109" s="8"/>
      <c r="H109" s="8">
        <v>243</v>
      </c>
      <c r="I109" s="8"/>
      <c r="J109" s="8">
        <v>205</v>
      </c>
      <c r="K109" s="8"/>
      <c r="L109" s="8">
        <v>5000</v>
      </c>
    </row>
    <row r="110" spans="1:12" x14ac:dyDescent="0.2">
      <c r="A110" s="13" t="s">
        <v>159</v>
      </c>
      <c r="B110" s="8" t="s">
        <v>159</v>
      </c>
      <c r="C110" s="8"/>
      <c r="D110" s="8"/>
      <c r="E110" s="8">
        <v>606</v>
      </c>
      <c r="F110" s="8"/>
      <c r="G110" s="8"/>
      <c r="H110" s="8">
        <v>255</v>
      </c>
      <c r="I110" s="8"/>
      <c r="J110" s="8">
        <v>180</v>
      </c>
      <c r="K110" s="8"/>
      <c r="L110" s="8">
        <v>2000</v>
      </c>
    </row>
    <row r="111" spans="1:12" x14ac:dyDescent="0.2">
      <c r="A111" s="13" t="s">
        <v>160</v>
      </c>
      <c r="B111" s="8" t="s">
        <v>160</v>
      </c>
      <c r="C111" s="8"/>
      <c r="D111" s="8"/>
      <c r="E111" s="8">
        <v>695</v>
      </c>
      <c r="F111" s="8"/>
      <c r="G111" s="8"/>
      <c r="H111" s="8">
        <v>255</v>
      </c>
      <c r="I111" s="8"/>
      <c r="J111" s="8">
        <v>264</v>
      </c>
      <c r="K111" s="8"/>
      <c r="L111" s="8">
        <v>7000</v>
      </c>
    </row>
    <row r="112" spans="1:12" x14ac:dyDescent="0.2">
      <c r="A112" s="13" t="s">
        <v>161</v>
      </c>
      <c r="B112" s="8" t="s">
        <v>162</v>
      </c>
      <c r="C112" s="8"/>
      <c r="D112" s="8"/>
      <c r="E112" s="8">
        <v>734</v>
      </c>
      <c r="F112" s="8"/>
      <c r="G112" s="8"/>
      <c r="H112" s="8">
        <v>298</v>
      </c>
      <c r="I112" s="8"/>
      <c r="J112" s="8">
        <v>345</v>
      </c>
      <c r="K112" s="8"/>
      <c r="L112" s="8">
        <v>15000</v>
      </c>
    </row>
    <row r="113" spans="1:12" x14ac:dyDescent="0.2">
      <c r="A113" s="13" t="s">
        <v>163</v>
      </c>
      <c r="B113" s="8" t="s">
        <v>164</v>
      </c>
      <c r="C113" s="8"/>
      <c r="D113" s="8"/>
      <c r="E113" s="8">
        <v>630</v>
      </c>
      <c r="F113" s="8"/>
      <c r="G113" s="8"/>
      <c r="H113" s="8">
        <v>250</v>
      </c>
      <c r="I113" s="8"/>
      <c r="J113" s="8">
        <v>352</v>
      </c>
      <c r="K113" s="8"/>
      <c r="L113" s="8">
        <v>9300</v>
      </c>
    </row>
    <row r="114" spans="1:12" x14ac:dyDescent="0.2">
      <c r="A114" s="13" t="s">
        <v>165</v>
      </c>
      <c r="B114" s="8" t="s">
        <v>166</v>
      </c>
      <c r="C114" s="8"/>
      <c r="D114" s="8"/>
      <c r="E114" s="8">
        <v>770</v>
      </c>
      <c r="F114" s="8"/>
      <c r="G114" s="8"/>
      <c r="H114" s="8">
        <v>259</v>
      </c>
      <c r="I114" s="8"/>
      <c r="J114" s="8">
        <v>270</v>
      </c>
      <c r="K114" s="8"/>
      <c r="L114" s="8">
        <v>12480</v>
      </c>
    </row>
    <row r="115" spans="1:12" x14ac:dyDescent="0.2">
      <c r="A115" s="13" t="s">
        <v>167</v>
      </c>
      <c r="B115" s="8" t="s">
        <v>168</v>
      </c>
      <c r="C115" s="8"/>
      <c r="D115" s="8"/>
      <c r="E115" s="8">
        <v>987</v>
      </c>
      <c r="F115" s="8"/>
      <c r="G115" s="8"/>
      <c r="H115" s="8">
        <v>309</v>
      </c>
      <c r="I115" s="8"/>
      <c r="J115" s="8">
        <v>306</v>
      </c>
      <c r="K115" s="8"/>
      <c r="L115" s="8">
        <v>20690</v>
      </c>
    </row>
    <row r="116" spans="1:12" x14ac:dyDescent="0.2">
      <c r="A116" s="13" t="s">
        <v>169</v>
      </c>
      <c r="B116" s="8" t="s">
        <v>170</v>
      </c>
      <c r="C116" s="8"/>
      <c r="D116" s="8"/>
      <c r="E116" s="8">
        <v>996</v>
      </c>
      <c r="F116" s="8"/>
      <c r="G116" s="8"/>
      <c r="H116" s="8">
        <v>319</v>
      </c>
      <c r="I116" s="8"/>
      <c r="J116" s="8">
        <v>323</v>
      </c>
      <c r="K116" s="8"/>
      <c r="L116" s="8">
        <v>23900</v>
      </c>
    </row>
    <row r="117" spans="1:12" x14ac:dyDescent="0.2">
      <c r="A117" s="13" t="s">
        <v>171</v>
      </c>
      <c r="B117" s="8" t="s">
        <v>172</v>
      </c>
      <c r="C117" s="8"/>
      <c r="D117" s="8"/>
      <c r="E117" s="8">
        <v>770</v>
      </c>
      <c r="F117" s="8"/>
      <c r="G117" s="8"/>
      <c r="H117" s="8">
        <v>249</v>
      </c>
      <c r="I117" s="8"/>
      <c r="J117" s="8">
        <v>304</v>
      </c>
      <c r="K117" s="8"/>
      <c r="L117" s="8">
        <v>12790</v>
      </c>
    </row>
    <row r="118" spans="1:12" x14ac:dyDescent="0.2">
      <c r="A118" s="13" t="s">
        <v>173</v>
      </c>
      <c r="B118" s="8" t="s">
        <v>174</v>
      </c>
      <c r="C118" s="8"/>
      <c r="D118" s="8"/>
      <c r="E118" s="8">
        <v>860</v>
      </c>
      <c r="F118" s="8"/>
      <c r="G118" s="8"/>
      <c r="H118" s="8">
        <v>249</v>
      </c>
      <c r="I118" s="8"/>
      <c r="J118" s="8">
        <v>306</v>
      </c>
      <c r="K118" s="8"/>
      <c r="L118" s="8">
        <v>15570</v>
      </c>
    </row>
    <row r="119" spans="1:12" x14ac:dyDescent="0.2">
      <c r="A119" s="13" t="s">
        <v>175</v>
      </c>
      <c r="B119" s="8" t="s">
        <v>176</v>
      </c>
      <c r="C119" s="8"/>
      <c r="D119" s="8"/>
      <c r="E119" s="8">
        <v>1080</v>
      </c>
      <c r="F119" s="8"/>
      <c r="G119" s="8"/>
      <c r="H119" s="8">
        <v>257</v>
      </c>
      <c r="I119" s="8"/>
      <c r="J119" s="8">
        <v>312</v>
      </c>
      <c r="K119" s="8"/>
      <c r="L119" s="8">
        <v>17000</v>
      </c>
    </row>
    <row r="120" spans="1:12" x14ac:dyDescent="0.2">
      <c r="A120" s="11" t="s">
        <v>177</v>
      </c>
      <c r="B120" s="12" t="s">
        <v>178</v>
      </c>
      <c r="C120" s="12"/>
      <c r="D120" s="12"/>
      <c r="E120" s="8">
        <v>582</v>
      </c>
      <c r="F120" s="8"/>
      <c r="G120" s="8"/>
      <c r="H120" s="8">
        <v>228</v>
      </c>
      <c r="I120" s="8"/>
      <c r="J120" s="8">
        <v>318</v>
      </c>
      <c r="K120" s="8"/>
      <c r="L120" s="8">
        <v>12000</v>
      </c>
    </row>
    <row r="121" spans="1:12" x14ac:dyDescent="0.2">
      <c r="A121" s="13" t="s">
        <v>179</v>
      </c>
      <c r="B121" s="12" t="s">
        <v>180</v>
      </c>
      <c r="C121" s="12"/>
      <c r="D121" s="12"/>
      <c r="E121" s="8">
        <v>606</v>
      </c>
      <c r="F121" s="8"/>
      <c r="G121" s="8"/>
      <c r="H121" s="8">
        <v>244</v>
      </c>
      <c r="I121" s="8"/>
      <c r="J121" s="8">
        <v>97</v>
      </c>
      <c r="K121" s="8"/>
      <c r="L121" s="8">
        <v>2500</v>
      </c>
    </row>
    <row r="122" spans="1:12" x14ac:dyDescent="0.2">
      <c r="A122" s="13" t="s">
        <v>181</v>
      </c>
      <c r="B122" s="8" t="s">
        <v>182</v>
      </c>
      <c r="C122" s="8"/>
      <c r="D122" s="8"/>
      <c r="E122" s="8">
        <v>642</v>
      </c>
      <c r="F122" s="8"/>
      <c r="G122" s="8"/>
      <c r="H122" s="8">
        <v>250</v>
      </c>
      <c r="I122" s="8"/>
      <c r="J122" s="8">
        <v>352</v>
      </c>
      <c r="K122" s="8"/>
      <c r="L122" s="8">
        <v>9980</v>
      </c>
    </row>
    <row r="123" spans="1:12" x14ac:dyDescent="0.2">
      <c r="A123" s="13" t="s">
        <v>183</v>
      </c>
      <c r="B123" s="8" t="s">
        <v>184</v>
      </c>
      <c r="C123" s="8"/>
      <c r="D123" s="8"/>
      <c r="E123" s="8">
        <v>424</v>
      </c>
      <c r="F123" s="8"/>
      <c r="G123" s="8"/>
      <c r="H123" s="8">
        <v>150</v>
      </c>
      <c r="I123" s="8"/>
      <c r="J123" s="8">
        <v>333</v>
      </c>
      <c r="K123" s="8"/>
      <c r="L123" s="8">
        <v>3000</v>
      </c>
    </row>
    <row r="124" spans="1:12" x14ac:dyDescent="0.2">
      <c r="A124" s="13" t="s">
        <v>185</v>
      </c>
      <c r="B124" s="8" t="s">
        <v>186</v>
      </c>
      <c r="C124" s="8"/>
      <c r="D124" s="8"/>
      <c r="E124" s="8">
        <v>1090</v>
      </c>
      <c r="F124" s="8"/>
      <c r="G124" s="8"/>
      <c r="H124" s="8">
        <v>255</v>
      </c>
      <c r="I124" s="8"/>
      <c r="J124" s="8">
        <v>390</v>
      </c>
      <c r="K124" s="8"/>
      <c r="L124" s="8">
        <v>30000</v>
      </c>
    </row>
    <row r="125" spans="1:12" x14ac:dyDescent="0.2">
      <c r="A125" s="13" t="s">
        <v>187</v>
      </c>
      <c r="B125" s="8" t="s">
        <v>188</v>
      </c>
      <c r="C125" s="8"/>
      <c r="D125" s="8"/>
      <c r="E125" s="8">
        <v>407</v>
      </c>
      <c r="F125" s="8"/>
      <c r="G125" s="8"/>
      <c r="H125" s="8">
        <v>173</v>
      </c>
      <c r="I125" s="8"/>
      <c r="J125" s="8">
        <v>145</v>
      </c>
      <c r="K125" s="8"/>
      <c r="L125" s="8">
        <v>1130</v>
      </c>
    </row>
    <row r="126" spans="1:12" x14ac:dyDescent="0.2">
      <c r="A126" s="13" t="s">
        <v>189</v>
      </c>
      <c r="B126" s="8" t="s">
        <v>190</v>
      </c>
      <c r="C126" s="8"/>
      <c r="D126" s="8"/>
      <c r="E126" s="8">
        <v>287</v>
      </c>
      <c r="F126" s="8"/>
      <c r="G126" s="8"/>
      <c r="H126" s="8">
        <v>217</v>
      </c>
      <c r="I126" s="8"/>
      <c r="J126" s="8">
        <v>233</v>
      </c>
      <c r="K126" s="8"/>
      <c r="L126" s="8">
        <v>2010</v>
      </c>
    </row>
    <row r="127" spans="1:12" x14ac:dyDescent="0.2">
      <c r="A127" s="11" t="s">
        <v>191</v>
      </c>
      <c r="B127" s="12" t="s">
        <v>192</v>
      </c>
      <c r="C127" s="12"/>
      <c r="D127" s="12"/>
      <c r="E127" s="12">
        <v>228</v>
      </c>
      <c r="F127" s="12"/>
      <c r="G127" s="12"/>
      <c r="H127" s="12">
        <v>88</v>
      </c>
      <c r="I127" s="12"/>
      <c r="J127" s="12">
        <v>128</v>
      </c>
      <c r="K127" s="12"/>
      <c r="L127" s="12">
        <v>148</v>
      </c>
    </row>
    <row r="128" spans="1:12" x14ac:dyDescent="0.2">
      <c r="A128" s="11" t="s">
        <v>193</v>
      </c>
      <c r="B128" s="12" t="s">
        <v>194</v>
      </c>
      <c r="C128" s="12"/>
      <c r="D128" s="12"/>
      <c r="E128" s="12">
        <v>670</v>
      </c>
      <c r="F128" s="12"/>
      <c r="G128" s="12"/>
      <c r="H128" s="12">
        <v>140</v>
      </c>
      <c r="I128" s="12"/>
      <c r="J128" s="12">
        <v>244</v>
      </c>
      <c r="K128" s="12"/>
      <c r="L128" s="12">
        <v>3000</v>
      </c>
    </row>
    <row r="129" spans="1:12" x14ac:dyDescent="0.2">
      <c r="A129" s="11" t="s">
        <v>195</v>
      </c>
      <c r="B129" s="12" t="s">
        <v>196</v>
      </c>
      <c r="C129" s="12"/>
      <c r="D129" s="12"/>
      <c r="E129" s="12">
        <v>530</v>
      </c>
      <c r="F129" s="12"/>
      <c r="G129" s="12"/>
      <c r="H129" s="12">
        <v>220</v>
      </c>
      <c r="I129" s="12"/>
      <c r="J129" s="12">
        <v>270</v>
      </c>
      <c r="K129" s="12"/>
      <c r="L129" s="12">
        <v>4000</v>
      </c>
    </row>
    <row r="130" spans="1:12" x14ac:dyDescent="0.2">
      <c r="A130" s="11" t="s">
        <v>197</v>
      </c>
      <c r="B130" s="12" t="s">
        <v>198</v>
      </c>
      <c r="C130" s="12"/>
      <c r="D130" s="12"/>
      <c r="E130" s="12">
        <v>455</v>
      </c>
      <c r="F130" s="12"/>
      <c r="G130" s="12"/>
      <c r="H130" s="12">
        <v>179</v>
      </c>
      <c r="I130" s="12"/>
      <c r="J130" s="12">
        <v>211</v>
      </c>
      <c r="K130" s="12"/>
      <c r="L130" s="12">
        <v>3220</v>
      </c>
    </row>
    <row r="131" spans="1:12" x14ac:dyDescent="0.2">
      <c r="A131" s="11" t="s">
        <v>199</v>
      </c>
      <c r="B131" s="12" t="s">
        <v>200</v>
      </c>
      <c r="C131" s="12"/>
      <c r="D131" s="12"/>
      <c r="E131" s="12">
        <v>456</v>
      </c>
      <c r="F131" s="12"/>
      <c r="G131" s="12"/>
      <c r="H131" s="12">
        <v>179</v>
      </c>
      <c r="I131" s="12"/>
      <c r="J131" s="12">
        <v>238</v>
      </c>
      <c r="K131" s="12"/>
      <c r="L131" s="12">
        <v>3240</v>
      </c>
    </row>
    <row r="132" spans="1:12" x14ac:dyDescent="0.2">
      <c r="A132" s="11" t="s">
        <v>201</v>
      </c>
      <c r="B132" s="12" t="s">
        <v>202</v>
      </c>
      <c r="C132" s="12"/>
      <c r="D132" s="12"/>
      <c r="E132" s="12">
        <v>1445</v>
      </c>
      <c r="F132" s="12"/>
      <c r="G132" s="12"/>
      <c r="H132" s="12">
        <v>401</v>
      </c>
      <c r="I132" s="12"/>
      <c r="J132" s="12">
        <v>280</v>
      </c>
      <c r="K132" s="12"/>
      <c r="L132" s="12">
        <v>26995</v>
      </c>
    </row>
    <row r="133" spans="1:12" x14ac:dyDescent="0.2">
      <c r="A133" s="11" t="s">
        <v>203</v>
      </c>
      <c r="B133" s="12" t="s">
        <v>204</v>
      </c>
      <c r="C133" s="12"/>
      <c r="D133" s="12"/>
      <c r="E133" s="12">
        <v>1445</v>
      </c>
      <c r="F133" s="12"/>
      <c r="G133" s="12"/>
      <c r="H133" s="12">
        <v>401</v>
      </c>
      <c r="I133" s="12"/>
      <c r="J133" s="12">
        <v>408</v>
      </c>
      <c r="K133" s="12"/>
      <c r="L133" s="12">
        <v>37744</v>
      </c>
    </row>
    <row r="134" spans="1:12" x14ac:dyDescent="0.2">
      <c r="A134" s="11" t="s">
        <v>205</v>
      </c>
      <c r="B134" s="12" t="s">
        <v>206</v>
      </c>
      <c r="C134" s="12"/>
      <c r="D134" s="12"/>
      <c r="E134" s="12">
        <v>1047</v>
      </c>
      <c r="F134" s="12"/>
      <c r="G134" s="12"/>
      <c r="H134" s="12">
        <v>325</v>
      </c>
      <c r="I134" s="12"/>
      <c r="J134" s="12">
        <v>256</v>
      </c>
      <c r="K134" s="12"/>
      <c r="L134" s="12">
        <v>36000</v>
      </c>
    </row>
    <row r="135" spans="1:12" x14ac:dyDescent="0.2">
      <c r="A135" s="11" t="s">
        <v>207</v>
      </c>
      <c r="B135" s="12" t="s">
        <v>208</v>
      </c>
      <c r="C135" s="12"/>
      <c r="D135" s="12"/>
      <c r="E135" s="12">
        <v>798</v>
      </c>
      <c r="F135" s="12"/>
      <c r="G135" s="12"/>
      <c r="H135" s="12">
        <v>325</v>
      </c>
      <c r="I135" s="12"/>
      <c r="J135" s="12">
        <v>270</v>
      </c>
      <c r="K135" s="12"/>
      <c r="L135" s="12">
        <v>43000</v>
      </c>
    </row>
    <row r="136" spans="1:12" x14ac:dyDescent="0.2">
      <c r="A136" s="11" t="s">
        <v>209</v>
      </c>
      <c r="B136" s="12" t="s">
        <v>210</v>
      </c>
      <c r="C136" s="12"/>
      <c r="D136" s="12"/>
      <c r="E136" s="12">
        <v>790</v>
      </c>
      <c r="F136" s="12"/>
      <c r="G136" s="12"/>
      <c r="H136" s="12">
        <v>325</v>
      </c>
      <c r="I136" s="12"/>
      <c r="J136" s="12">
        <v>295</v>
      </c>
      <c r="K136" s="12"/>
      <c r="L136" s="12">
        <v>42000</v>
      </c>
    </row>
    <row r="137" spans="1:12" x14ac:dyDescent="0.2">
      <c r="A137" s="11" t="s">
        <v>211</v>
      </c>
      <c r="B137" s="12" t="s">
        <v>212</v>
      </c>
      <c r="C137" s="12"/>
      <c r="D137" s="12"/>
      <c r="E137" s="12">
        <v>768</v>
      </c>
      <c r="F137" s="12"/>
      <c r="G137" s="12"/>
      <c r="H137" s="12">
        <v>325</v>
      </c>
      <c r="I137" s="12"/>
      <c r="J137" s="12">
        <v>270</v>
      </c>
      <c r="K137" s="12"/>
      <c r="L137" s="12">
        <v>40200</v>
      </c>
    </row>
    <row r="138" spans="1:12" x14ac:dyDescent="0.2">
      <c r="A138" s="11" t="s">
        <v>213</v>
      </c>
      <c r="B138" s="12" t="s">
        <v>214</v>
      </c>
      <c r="C138" s="12"/>
      <c r="D138" s="12"/>
      <c r="E138" s="12">
        <v>736</v>
      </c>
      <c r="F138" s="12"/>
      <c r="G138" s="12"/>
      <c r="H138" s="12">
        <v>339</v>
      </c>
      <c r="I138" s="12"/>
      <c r="J138" s="12">
        <v>302</v>
      </c>
      <c r="K138" s="12"/>
      <c r="L138" s="12">
        <v>46000</v>
      </c>
    </row>
    <row r="139" spans="1:12" x14ac:dyDescent="0.2">
      <c r="A139" s="11" t="s">
        <v>215</v>
      </c>
      <c r="B139" s="12" t="s">
        <v>216</v>
      </c>
      <c r="C139" s="12"/>
      <c r="D139" s="12"/>
      <c r="E139" s="12">
        <v>979</v>
      </c>
      <c r="F139" s="12"/>
      <c r="G139" s="12"/>
      <c r="H139" s="12">
        <v>376</v>
      </c>
      <c r="I139" s="12"/>
      <c r="J139" s="12">
        <v>303</v>
      </c>
      <c r="K139" s="12"/>
      <c r="L139" s="12">
        <v>60900</v>
      </c>
    </row>
    <row r="140" spans="1:12" x14ac:dyDescent="0.2">
      <c r="A140" s="11" t="s">
        <v>217</v>
      </c>
      <c r="B140" s="12" t="s">
        <v>218</v>
      </c>
      <c r="C140" s="12"/>
      <c r="D140" s="12"/>
      <c r="E140" s="12">
        <v>772</v>
      </c>
      <c r="F140" s="12"/>
      <c r="G140" s="12"/>
      <c r="H140" s="12">
        <v>354</v>
      </c>
      <c r="I140" s="12"/>
      <c r="J140" s="12">
        <v>330</v>
      </c>
      <c r="K140" s="12"/>
      <c r="L140" s="12">
        <v>60900</v>
      </c>
    </row>
    <row r="141" spans="1:12" x14ac:dyDescent="0.2">
      <c r="A141" s="11" t="s">
        <v>219</v>
      </c>
      <c r="B141" s="12" t="s">
        <v>220</v>
      </c>
      <c r="C141" s="12"/>
      <c r="D141" s="12"/>
      <c r="E141" s="12">
        <v>979</v>
      </c>
      <c r="F141" s="12"/>
      <c r="G141" s="12"/>
      <c r="H141" s="12">
        <v>376</v>
      </c>
      <c r="I141" s="12"/>
      <c r="J141" s="12">
        <v>303</v>
      </c>
      <c r="K141" s="12"/>
      <c r="L141" s="12">
        <v>62525</v>
      </c>
    </row>
    <row r="142" spans="1:12" x14ac:dyDescent="0.2">
      <c r="A142" s="11" t="s">
        <v>221</v>
      </c>
      <c r="B142" s="12" t="s">
        <v>222</v>
      </c>
      <c r="C142" s="12"/>
      <c r="D142" s="12"/>
      <c r="E142" s="12">
        <v>1020</v>
      </c>
      <c r="F142" s="12"/>
      <c r="G142" s="12"/>
      <c r="H142" s="12">
        <v>360</v>
      </c>
      <c r="I142" s="12"/>
      <c r="J142" s="12">
        <v>292</v>
      </c>
      <c r="K142" s="12"/>
      <c r="L142" s="12">
        <v>62000</v>
      </c>
    </row>
    <row r="143" spans="1:12" x14ac:dyDescent="0.2">
      <c r="A143" s="11" t="s">
        <v>223</v>
      </c>
      <c r="B143" s="12" t="s">
        <v>224</v>
      </c>
      <c r="C143" s="12"/>
      <c r="D143" s="12"/>
      <c r="E143" s="12">
        <v>907</v>
      </c>
      <c r="F143" s="12"/>
      <c r="G143" s="12"/>
      <c r="H143" s="12">
        <v>354</v>
      </c>
      <c r="I143" s="12"/>
      <c r="J143" s="12">
        <v>292</v>
      </c>
      <c r="K143" s="12"/>
      <c r="L143" s="12">
        <v>56300</v>
      </c>
    </row>
    <row r="144" spans="1:12" x14ac:dyDescent="0.2">
      <c r="A144" s="11" t="s">
        <v>225</v>
      </c>
      <c r="B144" s="12" t="s">
        <v>226</v>
      </c>
      <c r="C144" s="12"/>
      <c r="D144" s="12"/>
      <c r="E144" s="12">
        <v>1080</v>
      </c>
      <c r="F144" s="12"/>
      <c r="G144" s="12"/>
      <c r="H144" s="12">
        <v>376</v>
      </c>
      <c r="I144" s="12"/>
      <c r="J144" s="12">
        <v>303</v>
      </c>
      <c r="K144" s="12"/>
      <c r="L144" s="12">
        <v>62000</v>
      </c>
    </row>
    <row r="145" spans="1:12" x14ac:dyDescent="0.2">
      <c r="A145" s="11" t="s">
        <v>227</v>
      </c>
      <c r="B145" s="12" t="s">
        <v>228</v>
      </c>
      <c r="C145" s="12"/>
      <c r="D145" s="12"/>
      <c r="E145" s="12">
        <v>1098</v>
      </c>
      <c r="F145" s="12"/>
      <c r="G145" s="12"/>
      <c r="H145" s="12">
        <v>275</v>
      </c>
      <c r="I145" s="12"/>
      <c r="J145" s="12">
        <v>328</v>
      </c>
      <c r="K145" s="12"/>
      <c r="L145" s="12">
        <v>29900</v>
      </c>
    </row>
    <row r="146" spans="1:12" x14ac:dyDescent="0.2">
      <c r="A146" s="11" t="s">
        <v>229</v>
      </c>
      <c r="B146" s="12" t="s">
        <v>230</v>
      </c>
      <c r="C146" s="12"/>
      <c r="D146" s="12"/>
      <c r="E146" s="12">
        <v>1235</v>
      </c>
      <c r="F146" s="12"/>
      <c r="G146" s="12"/>
      <c r="H146" s="12">
        <v>268</v>
      </c>
      <c r="I146" s="12"/>
      <c r="J146" s="12">
        <v>385</v>
      </c>
      <c r="K146" s="12"/>
      <c r="L146" s="12">
        <v>48000</v>
      </c>
    </row>
    <row r="147" spans="1:12" x14ac:dyDescent="0.2">
      <c r="A147" s="11" t="s">
        <v>231</v>
      </c>
      <c r="B147" s="12" t="s">
        <v>232</v>
      </c>
      <c r="C147" s="12"/>
      <c r="D147" s="12"/>
      <c r="E147" s="12">
        <v>540</v>
      </c>
      <c r="F147" s="12"/>
      <c r="G147" s="12"/>
      <c r="H147" s="12">
        <v>303</v>
      </c>
      <c r="I147" s="12"/>
      <c r="J147" s="12">
        <v>30</v>
      </c>
      <c r="K147" s="12"/>
      <c r="L147" s="12">
        <v>2000</v>
      </c>
    </row>
    <row r="148" spans="1:12" x14ac:dyDescent="0.2">
      <c r="A148" s="11" t="s">
        <v>233</v>
      </c>
      <c r="B148" s="12" t="s">
        <v>234</v>
      </c>
      <c r="C148" s="12"/>
      <c r="D148" s="12"/>
      <c r="E148" s="12">
        <v>410</v>
      </c>
      <c r="F148" s="12"/>
      <c r="G148" s="12"/>
      <c r="H148" s="12">
        <v>181</v>
      </c>
      <c r="I148" s="12"/>
      <c r="J148" s="12">
        <v>220</v>
      </c>
      <c r="K148" s="12"/>
      <c r="L148" s="12">
        <v>1716</v>
      </c>
    </row>
    <row r="149" spans="1:12" x14ac:dyDescent="0.2">
      <c r="A149" s="11" t="s">
        <v>235</v>
      </c>
      <c r="B149" s="12" t="s">
        <v>236</v>
      </c>
      <c r="C149" s="12"/>
      <c r="D149" s="12"/>
      <c r="E149" s="12">
        <v>340</v>
      </c>
      <c r="F149" s="12"/>
      <c r="G149" s="12"/>
      <c r="H149" s="12">
        <v>181</v>
      </c>
      <c r="I149" s="12"/>
      <c r="J149" s="12">
        <v>178</v>
      </c>
      <c r="K149" s="12"/>
      <c r="L149" s="12">
        <v>1700</v>
      </c>
    </row>
    <row r="150" spans="1:12" x14ac:dyDescent="0.2">
      <c r="A150" s="11" t="s">
        <v>237</v>
      </c>
      <c r="B150" s="12" t="s">
        <v>238</v>
      </c>
      <c r="C150" s="12"/>
      <c r="D150" s="12"/>
      <c r="E150" s="12">
        <v>331</v>
      </c>
      <c r="F150" s="12"/>
      <c r="G150" s="12"/>
      <c r="H150" s="12">
        <v>172</v>
      </c>
      <c r="I150" s="12"/>
      <c r="J150" s="12">
        <v>178</v>
      </c>
      <c r="K150" s="12"/>
      <c r="L150" s="12">
        <v>1350</v>
      </c>
    </row>
    <row r="151" spans="1:12" x14ac:dyDescent="0.2">
      <c r="A151" s="11" t="s">
        <v>239</v>
      </c>
      <c r="B151" s="12" t="s">
        <v>240</v>
      </c>
      <c r="C151" s="12"/>
      <c r="D151" s="12"/>
      <c r="E151" s="12">
        <v>400</v>
      </c>
      <c r="F151" s="12"/>
      <c r="G151" s="12"/>
      <c r="H151" s="12">
        <v>172</v>
      </c>
      <c r="I151" s="12"/>
      <c r="J151" s="12">
        <v>178</v>
      </c>
      <c r="K151" s="12"/>
      <c r="L151" s="12">
        <v>2000</v>
      </c>
    </row>
    <row r="152" spans="1:12" x14ac:dyDescent="0.2">
      <c r="A152" s="11" t="s">
        <v>241</v>
      </c>
      <c r="B152" s="12" t="s">
        <v>242</v>
      </c>
      <c r="C152" s="12"/>
      <c r="D152" s="12"/>
      <c r="E152" s="12">
        <v>943</v>
      </c>
      <c r="F152" s="12"/>
      <c r="G152" s="12"/>
      <c r="H152" s="12">
        <v>306</v>
      </c>
      <c r="I152" s="12"/>
      <c r="J152" s="12">
        <v>298</v>
      </c>
      <c r="K152" s="12"/>
      <c r="L152" s="12">
        <v>35000</v>
      </c>
    </row>
    <row r="153" spans="1:12" x14ac:dyDescent="0.2">
      <c r="A153" s="11" t="s">
        <v>243</v>
      </c>
      <c r="B153" s="12" t="s">
        <v>244</v>
      </c>
      <c r="C153" s="12"/>
      <c r="D153" s="12"/>
      <c r="E153" s="12">
        <v>521</v>
      </c>
      <c r="F153" s="12"/>
      <c r="G153" s="12"/>
      <c r="H153" s="12">
        <v>209</v>
      </c>
      <c r="I153" s="12"/>
      <c r="J153" s="12">
        <v>221</v>
      </c>
      <c r="K153" s="12"/>
      <c r="L153" s="12">
        <v>7000</v>
      </c>
    </row>
    <row r="154" spans="1:12" x14ac:dyDescent="0.2">
      <c r="A154" s="11" t="s">
        <v>245</v>
      </c>
      <c r="B154" s="12" t="s">
        <v>246</v>
      </c>
      <c r="C154" s="12"/>
      <c r="D154" s="12"/>
      <c r="E154" s="12">
        <v>486</v>
      </c>
      <c r="F154" s="12"/>
      <c r="G154" s="12"/>
      <c r="H154" s="12">
        <v>269</v>
      </c>
      <c r="I154" s="12"/>
      <c r="J154" s="12">
        <v>268</v>
      </c>
      <c r="K154" s="12"/>
      <c r="L154" s="12">
        <v>12000</v>
      </c>
    </row>
    <row r="155" spans="1:12" x14ac:dyDescent="0.2">
      <c r="A155" s="11" t="s">
        <v>247</v>
      </c>
      <c r="B155" s="12" t="s">
        <v>248</v>
      </c>
      <c r="C155" s="12"/>
      <c r="D155" s="12"/>
      <c r="E155" s="12">
        <v>1170</v>
      </c>
      <c r="F155" s="12"/>
      <c r="G155" s="12"/>
      <c r="H155" s="12">
        <v>303</v>
      </c>
      <c r="I155" s="12"/>
      <c r="J155" s="12">
        <v>312</v>
      </c>
      <c r="K155" s="12"/>
      <c r="L155" s="12">
        <v>20000</v>
      </c>
    </row>
    <row r="156" spans="1:12" x14ac:dyDescent="0.2">
      <c r="A156" s="11" t="s">
        <v>249</v>
      </c>
      <c r="B156" s="12" t="s">
        <v>250</v>
      </c>
      <c r="C156" s="12"/>
      <c r="D156" s="12"/>
      <c r="E156" s="12">
        <v>1170</v>
      </c>
      <c r="F156" s="12"/>
      <c r="G156" s="12"/>
      <c r="H156" s="12">
        <v>303</v>
      </c>
      <c r="I156" s="12"/>
      <c r="J156" s="12">
        <v>342</v>
      </c>
      <c r="K156" s="12"/>
      <c r="L156" s="12">
        <v>27000</v>
      </c>
    </row>
    <row r="157" spans="1:12" x14ac:dyDescent="0.2">
      <c r="A157" s="11" t="s">
        <v>251</v>
      </c>
      <c r="B157" s="12" t="s">
        <v>252</v>
      </c>
      <c r="C157" s="12"/>
      <c r="D157" s="12"/>
      <c r="E157" s="12">
        <v>1170</v>
      </c>
      <c r="F157" s="12"/>
      <c r="G157" s="12"/>
      <c r="H157" s="12">
        <v>303</v>
      </c>
      <c r="I157" s="12"/>
      <c r="J157" s="12">
        <v>342</v>
      </c>
      <c r="K157" s="12"/>
      <c r="L157" s="12">
        <v>29000</v>
      </c>
    </row>
    <row r="158" spans="1:12" x14ac:dyDescent="0.2">
      <c r="A158" s="11" t="s">
        <v>253</v>
      </c>
      <c r="B158" s="12" t="s">
        <v>254</v>
      </c>
      <c r="C158" s="12"/>
      <c r="D158" s="12"/>
      <c r="E158" s="12">
        <v>1200</v>
      </c>
      <c r="F158" s="12"/>
      <c r="G158" s="12"/>
      <c r="H158" s="12">
        <v>255</v>
      </c>
      <c r="I158" s="12"/>
      <c r="J158" s="12">
        <v>400</v>
      </c>
      <c r="K158" s="12"/>
      <c r="L158" s="12">
        <v>14000</v>
      </c>
    </row>
    <row r="159" spans="1:12" x14ac:dyDescent="0.2">
      <c r="A159" s="11" t="s">
        <v>255</v>
      </c>
      <c r="B159" s="12" t="s">
        <v>256</v>
      </c>
      <c r="C159" s="12"/>
      <c r="D159" s="12"/>
      <c r="E159" s="12">
        <v>590</v>
      </c>
      <c r="F159" s="12"/>
      <c r="G159" s="12"/>
      <c r="H159" s="12">
        <v>243</v>
      </c>
      <c r="I159" s="12"/>
      <c r="J159" s="12">
        <v>330</v>
      </c>
      <c r="K159" s="12"/>
      <c r="L159" s="12">
        <v>11000</v>
      </c>
    </row>
    <row r="160" spans="1:12" x14ac:dyDescent="0.2">
      <c r="A160" s="11" t="s">
        <v>257</v>
      </c>
      <c r="B160" s="12" t="s">
        <v>258</v>
      </c>
      <c r="C160" s="12"/>
      <c r="D160" s="12"/>
      <c r="E160" s="12">
        <v>522</v>
      </c>
      <c r="F160" s="12"/>
      <c r="G160" s="12"/>
      <c r="H160" s="12">
        <v>193</v>
      </c>
      <c r="I160" s="12"/>
      <c r="J160" s="12">
        <v>265</v>
      </c>
      <c r="K160" s="12"/>
      <c r="L160" s="12">
        <v>3070</v>
      </c>
    </row>
    <row r="161" spans="1:12" x14ac:dyDescent="0.2">
      <c r="A161" s="11" t="s">
        <v>259</v>
      </c>
      <c r="B161" s="12" t="s">
        <v>260</v>
      </c>
      <c r="C161" s="12"/>
      <c r="D161" s="12"/>
      <c r="E161" s="12">
        <v>522</v>
      </c>
      <c r="F161" s="12"/>
      <c r="G161" s="12"/>
      <c r="H161" s="12">
        <v>193</v>
      </c>
      <c r="I161" s="12"/>
      <c r="J161" s="12">
        <v>265</v>
      </c>
      <c r="K161" s="12"/>
      <c r="L161" s="12">
        <v>3230</v>
      </c>
    </row>
    <row r="162" spans="1:12" x14ac:dyDescent="0.2">
      <c r="A162" s="11" t="s">
        <v>261</v>
      </c>
      <c r="B162" s="12" t="s">
        <v>262</v>
      </c>
      <c r="C162" s="12"/>
      <c r="D162" s="12"/>
      <c r="E162" s="12">
        <v>522</v>
      </c>
      <c r="F162" s="12"/>
      <c r="G162" s="12"/>
      <c r="H162" s="12">
        <v>193</v>
      </c>
      <c r="I162" s="12"/>
      <c r="J162" s="12">
        <v>286</v>
      </c>
      <c r="K162" s="12"/>
      <c r="L162" s="12">
        <v>3230</v>
      </c>
    </row>
    <row r="163" spans="1:12" x14ac:dyDescent="0.2">
      <c r="A163" s="11" t="s">
        <v>263</v>
      </c>
      <c r="B163" s="12" t="s">
        <v>264</v>
      </c>
      <c r="C163" s="12"/>
      <c r="D163" s="12"/>
      <c r="E163" s="12">
        <v>512</v>
      </c>
      <c r="F163" s="12"/>
      <c r="G163" s="12"/>
      <c r="H163" s="12">
        <v>233</v>
      </c>
      <c r="I163" s="12"/>
      <c r="J163" s="12">
        <v>220</v>
      </c>
      <c r="K163" s="12"/>
      <c r="L163" s="12">
        <v>2200</v>
      </c>
    </row>
    <row r="164" spans="1:12" x14ac:dyDescent="0.2">
      <c r="A164" s="11" t="s">
        <v>265</v>
      </c>
      <c r="B164" s="12" t="s">
        <v>266</v>
      </c>
      <c r="C164" s="12"/>
      <c r="D164" s="12"/>
      <c r="E164" s="12">
        <v>512</v>
      </c>
      <c r="F164" s="12"/>
      <c r="G164" s="12"/>
      <c r="H164" s="12">
        <v>233</v>
      </c>
      <c r="I164" s="12"/>
      <c r="J164" s="12">
        <v>220</v>
      </c>
      <c r="K164" s="12"/>
      <c r="L164" s="12">
        <v>3000</v>
      </c>
    </row>
    <row r="165" spans="1:12" x14ac:dyDescent="0.2">
      <c r="A165" s="11" t="s">
        <v>267</v>
      </c>
      <c r="B165" s="12" t="s">
        <v>268</v>
      </c>
      <c r="C165" s="12"/>
      <c r="D165" s="12"/>
      <c r="E165" s="12">
        <v>411</v>
      </c>
      <c r="F165" s="12"/>
      <c r="G165" s="12"/>
      <c r="H165" s="12">
        <v>170</v>
      </c>
      <c r="I165" s="12"/>
      <c r="J165" s="12">
        <v>193</v>
      </c>
      <c r="K165" s="12"/>
      <c r="L165" s="12">
        <v>2350</v>
      </c>
    </row>
    <row r="166" spans="1:12" x14ac:dyDescent="0.2">
      <c r="A166" s="11" t="s">
        <v>269</v>
      </c>
      <c r="B166" s="12" t="s">
        <v>270</v>
      </c>
      <c r="C166" s="12"/>
      <c r="D166" s="12"/>
      <c r="E166" s="12">
        <v>411</v>
      </c>
      <c r="F166" s="12"/>
      <c r="G166" s="12"/>
      <c r="H166" s="12">
        <v>179</v>
      </c>
      <c r="I166" s="12"/>
      <c r="J166" s="12">
        <v>193</v>
      </c>
      <c r="K166" s="12"/>
      <c r="L166" s="12">
        <v>2350</v>
      </c>
    </row>
    <row r="167" spans="1:12" x14ac:dyDescent="0.2">
      <c r="A167" s="11" t="s">
        <v>271</v>
      </c>
      <c r="B167" s="12" t="s">
        <v>272</v>
      </c>
      <c r="C167" s="12"/>
      <c r="D167" s="12"/>
      <c r="E167" s="12">
        <v>422</v>
      </c>
      <c r="F167" s="12"/>
      <c r="G167" s="12"/>
      <c r="H167" s="12">
        <v>179</v>
      </c>
      <c r="I167" s="12"/>
      <c r="J167" s="12">
        <v>187</v>
      </c>
      <c r="K167" s="12"/>
      <c r="L167" s="12">
        <v>2350</v>
      </c>
    </row>
    <row r="168" spans="1:12" x14ac:dyDescent="0.2">
      <c r="A168" s="13" t="s">
        <v>273</v>
      </c>
      <c r="B168" s="12" t="s">
        <v>274</v>
      </c>
      <c r="C168" s="12"/>
      <c r="D168" s="12"/>
      <c r="E168" s="8">
        <v>422</v>
      </c>
      <c r="F168" s="8"/>
      <c r="G168" s="8"/>
      <c r="H168" s="8">
        <v>170</v>
      </c>
      <c r="I168" s="8"/>
      <c r="J168" s="8">
        <v>187</v>
      </c>
      <c r="K168" s="8"/>
      <c r="L168" s="8">
        <v>2350</v>
      </c>
    </row>
    <row r="169" spans="1:12" x14ac:dyDescent="0.2">
      <c r="A169" s="13" t="s">
        <v>275</v>
      </c>
      <c r="B169" s="12" t="s">
        <v>276</v>
      </c>
      <c r="C169" s="12"/>
      <c r="D169" s="12"/>
      <c r="E169" s="8">
        <v>633</v>
      </c>
      <c r="F169" s="8"/>
      <c r="G169" s="8"/>
      <c r="H169" s="8">
        <v>219</v>
      </c>
      <c r="I169" s="8"/>
      <c r="J169" s="8">
        <v>290</v>
      </c>
      <c r="K169" s="8"/>
      <c r="L169" s="8">
        <v>4000</v>
      </c>
    </row>
    <row r="170" spans="1:12" x14ac:dyDescent="0.2">
      <c r="A170" s="13" t="s">
        <v>277</v>
      </c>
      <c r="B170" s="12" t="s">
        <v>278</v>
      </c>
      <c r="C170" s="12"/>
      <c r="D170" s="12"/>
      <c r="E170" s="8">
        <v>456</v>
      </c>
      <c r="F170" s="8"/>
      <c r="G170" s="8"/>
      <c r="H170" s="8">
        <v>170</v>
      </c>
      <c r="I170" s="8"/>
      <c r="J170" s="8">
        <v>193</v>
      </c>
      <c r="K170" s="8"/>
      <c r="L170" s="8">
        <v>2900</v>
      </c>
    </row>
    <row r="171" spans="1:12" x14ac:dyDescent="0.2">
      <c r="A171" s="13" t="s">
        <v>279</v>
      </c>
      <c r="B171" s="12" t="s">
        <v>280</v>
      </c>
      <c r="C171" s="12"/>
      <c r="D171" s="12"/>
      <c r="E171" s="8">
        <v>467</v>
      </c>
      <c r="F171" s="8"/>
      <c r="G171" s="8"/>
      <c r="H171" s="8">
        <v>170</v>
      </c>
      <c r="I171" s="8"/>
      <c r="J171" s="8">
        <v>191</v>
      </c>
      <c r="K171" s="8"/>
      <c r="L171" s="8">
        <v>2535</v>
      </c>
    </row>
    <row r="172" spans="1:12" x14ac:dyDescent="0.2">
      <c r="A172" s="13" t="s">
        <v>281</v>
      </c>
      <c r="B172" s="12" t="s">
        <v>282</v>
      </c>
      <c r="C172" s="12"/>
      <c r="D172" s="12"/>
      <c r="E172" s="8">
        <v>593</v>
      </c>
      <c r="F172" s="8"/>
      <c r="G172" s="8"/>
      <c r="H172" s="8">
        <v>217</v>
      </c>
      <c r="I172" s="8"/>
      <c r="J172" s="8">
        <v>285</v>
      </c>
      <c r="K172" s="8"/>
      <c r="L172" s="8">
        <v>3500</v>
      </c>
    </row>
    <row r="173" spans="1:12" x14ac:dyDescent="0.2">
      <c r="A173" s="13" t="s">
        <v>283</v>
      </c>
      <c r="B173" s="12" t="s">
        <v>284</v>
      </c>
      <c r="C173" s="12"/>
      <c r="D173" s="12"/>
      <c r="E173" s="8">
        <v>715</v>
      </c>
      <c r="F173" s="8"/>
      <c r="G173" s="8"/>
      <c r="H173" s="8">
        <v>221</v>
      </c>
      <c r="I173" s="8"/>
      <c r="J173" s="8">
        <v>287</v>
      </c>
      <c r="K173" s="8"/>
      <c r="L173" s="8">
        <v>3000</v>
      </c>
    </row>
    <row r="174" spans="1:12" x14ac:dyDescent="0.2">
      <c r="A174" s="13" t="s">
        <v>285</v>
      </c>
      <c r="B174" s="8" t="s">
        <v>285</v>
      </c>
      <c r="C174" s="8"/>
      <c r="D174" s="8"/>
      <c r="E174" s="8">
        <v>694</v>
      </c>
      <c r="F174" s="8"/>
      <c r="G174" s="8"/>
      <c r="H174" s="8">
        <v>323</v>
      </c>
      <c r="I174" s="8"/>
      <c r="J174" s="8">
        <v>233</v>
      </c>
      <c r="K174" s="8"/>
      <c r="L174" s="8">
        <v>6000</v>
      </c>
    </row>
    <row r="175" spans="1:12" x14ac:dyDescent="0.2">
      <c r="A175" s="13" t="s">
        <v>286</v>
      </c>
      <c r="B175" s="8" t="s">
        <v>287</v>
      </c>
      <c r="C175" s="8"/>
      <c r="D175" s="8"/>
      <c r="E175" s="8">
        <v>776</v>
      </c>
      <c r="F175" s="8"/>
      <c r="G175" s="8"/>
      <c r="H175" s="8">
        <v>349</v>
      </c>
      <c r="I175" s="8"/>
      <c r="J175" s="8">
        <v>233</v>
      </c>
      <c r="K175" s="8"/>
      <c r="L175" s="8">
        <v>9000</v>
      </c>
    </row>
    <row r="176" spans="1:12" x14ac:dyDescent="0.2">
      <c r="A176" s="13" t="s">
        <v>288</v>
      </c>
      <c r="B176" s="8" t="s">
        <v>289</v>
      </c>
      <c r="C176" s="8"/>
      <c r="D176" s="8"/>
      <c r="E176" s="8">
        <v>320</v>
      </c>
      <c r="F176" s="8"/>
      <c r="G176" s="8"/>
      <c r="H176" s="8">
        <v>255</v>
      </c>
      <c r="I176" s="8"/>
      <c r="J176" s="8">
        <v>195</v>
      </c>
      <c r="K176" s="8"/>
      <c r="L176" s="8">
        <v>750</v>
      </c>
    </row>
    <row r="177" spans="1:12" x14ac:dyDescent="0.2">
      <c r="A177" s="13" t="s">
        <v>290</v>
      </c>
      <c r="B177" s="8" t="s">
        <v>291</v>
      </c>
      <c r="C177" s="8"/>
      <c r="D177" s="8"/>
      <c r="E177" s="8">
        <v>579</v>
      </c>
      <c r="F177" s="8"/>
      <c r="G177" s="8"/>
      <c r="H177" s="8">
        <v>250</v>
      </c>
      <c r="I177" s="8"/>
      <c r="J177" s="8">
        <v>182</v>
      </c>
      <c r="K177" s="8"/>
      <c r="L177" s="8">
        <v>14000</v>
      </c>
    </row>
    <row r="178" spans="1:12" x14ac:dyDescent="0.2">
      <c r="A178" s="13" t="s">
        <v>292</v>
      </c>
      <c r="B178" s="8" t="s">
        <v>293</v>
      </c>
      <c r="C178" s="8"/>
      <c r="D178" s="8"/>
      <c r="E178" s="8">
        <v>753</v>
      </c>
      <c r="F178" s="8"/>
      <c r="G178" s="8"/>
      <c r="H178" s="8">
        <v>293</v>
      </c>
      <c r="I178" s="8"/>
      <c r="J178" s="8">
        <v>308</v>
      </c>
      <c r="K178" s="8"/>
      <c r="L178" s="8">
        <v>20500</v>
      </c>
    </row>
    <row r="179" spans="1:12" x14ac:dyDescent="0.2">
      <c r="A179" s="11" t="s">
        <v>294</v>
      </c>
      <c r="B179" s="12" t="s">
        <v>295</v>
      </c>
      <c r="C179" s="12"/>
      <c r="D179" s="12"/>
      <c r="E179" s="12">
        <v>782</v>
      </c>
      <c r="F179" s="12"/>
      <c r="G179" s="12"/>
      <c r="H179" s="12">
        <v>272</v>
      </c>
      <c r="I179" s="12"/>
      <c r="J179" s="12">
        <v>282</v>
      </c>
      <c r="K179" s="12"/>
      <c r="L179" s="12">
        <v>20000</v>
      </c>
    </row>
    <row r="180" spans="1:12" x14ac:dyDescent="0.2">
      <c r="A180" s="11" t="s">
        <v>296</v>
      </c>
      <c r="B180" s="12" t="s">
        <v>297</v>
      </c>
      <c r="C180" s="12"/>
      <c r="D180" s="12"/>
      <c r="E180" s="12">
        <v>777</v>
      </c>
      <c r="F180" s="12"/>
      <c r="G180" s="12"/>
      <c r="H180" s="12">
        <v>272</v>
      </c>
      <c r="I180" s="12"/>
      <c r="J180" s="12">
        <v>293</v>
      </c>
      <c r="K180" s="12"/>
      <c r="L180" s="12">
        <v>22000</v>
      </c>
    </row>
    <row r="181" spans="1:12" x14ac:dyDescent="0.2">
      <c r="A181" s="11" t="s">
        <v>298</v>
      </c>
      <c r="B181" s="12" t="s">
        <v>299</v>
      </c>
      <c r="C181" s="12"/>
      <c r="D181" s="12"/>
      <c r="E181" s="12">
        <v>821</v>
      </c>
      <c r="F181" s="12"/>
      <c r="G181" s="12"/>
      <c r="H181" s="12">
        <v>272</v>
      </c>
      <c r="I181" s="12"/>
      <c r="J181" s="12">
        <v>330</v>
      </c>
      <c r="K181" s="12"/>
      <c r="L181" s="12">
        <v>22000</v>
      </c>
    </row>
    <row r="182" spans="1:12" x14ac:dyDescent="0.2">
      <c r="A182" s="11" t="s">
        <v>300</v>
      </c>
      <c r="B182" s="12" t="s">
        <v>301</v>
      </c>
      <c r="C182" s="12"/>
      <c r="D182" s="12"/>
      <c r="E182" s="12">
        <v>777</v>
      </c>
      <c r="F182" s="12"/>
      <c r="G182" s="12"/>
      <c r="H182" s="12">
        <v>272</v>
      </c>
      <c r="I182" s="12"/>
      <c r="J182" s="12">
        <v>293</v>
      </c>
      <c r="K182" s="12"/>
      <c r="L182" s="12">
        <v>20000</v>
      </c>
    </row>
    <row r="183" spans="1:12" x14ac:dyDescent="0.2">
      <c r="A183" s="11" t="s">
        <v>302</v>
      </c>
      <c r="B183" s="12" t="s">
        <v>303</v>
      </c>
      <c r="C183" s="12"/>
      <c r="D183" s="12"/>
      <c r="E183" s="12">
        <v>777</v>
      </c>
      <c r="F183" s="12"/>
      <c r="G183" s="12"/>
      <c r="H183" s="12">
        <v>272</v>
      </c>
      <c r="I183" s="12"/>
      <c r="J183" s="12">
        <v>293</v>
      </c>
      <c r="K183" s="12"/>
      <c r="L183" s="12">
        <v>21000</v>
      </c>
    </row>
    <row r="184" spans="1:12" x14ac:dyDescent="0.2">
      <c r="A184" s="11" t="s">
        <v>304</v>
      </c>
      <c r="B184" s="12" t="s">
        <v>305</v>
      </c>
      <c r="C184" s="12"/>
      <c r="D184" s="12"/>
      <c r="E184" s="12">
        <v>777</v>
      </c>
      <c r="F184" s="12"/>
      <c r="G184" s="12"/>
      <c r="H184" s="12">
        <v>272</v>
      </c>
      <c r="I184" s="12"/>
      <c r="J184" s="12">
        <v>293</v>
      </c>
      <c r="K184" s="12"/>
      <c r="L184" s="12">
        <v>20000</v>
      </c>
    </row>
    <row r="185" spans="1:12" x14ac:dyDescent="0.2">
      <c r="A185" s="11" t="s">
        <v>306</v>
      </c>
      <c r="B185" s="12" t="s">
        <v>307</v>
      </c>
      <c r="C185" s="12"/>
      <c r="D185" s="12"/>
      <c r="E185" s="12">
        <v>782</v>
      </c>
      <c r="F185" s="12"/>
      <c r="G185" s="12"/>
      <c r="H185" s="12">
        <v>272</v>
      </c>
      <c r="I185" s="12"/>
      <c r="J185" s="12">
        <v>293</v>
      </c>
      <c r="K185" s="12"/>
      <c r="L185" s="12">
        <v>22000</v>
      </c>
    </row>
    <row r="186" spans="1:12" x14ac:dyDescent="0.2">
      <c r="A186" s="11" t="s">
        <v>308</v>
      </c>
      <c r="B186" s="12" t="s">
        <v>309</v>
      </c>
      <c r="C186" s="12"/>
      <c r="D186" s="12"/>
      <c r="E186" s="12">
        <v>258</v>
      </c>
      <c r="F186" s="12"/>
      <c r="G186" s="12"/>
      <c r="H186" s="12">
        <v>150</v>
      </c>
      <c r="I186" s="12"/>
      <c r="J186" s="12">
        <v>125</v>
      </c>
      <c r="K186" s="12"/>
      <c r="L186" s="12">
        <v>350</v>
      </c>
    </row>
    <row r="187" spans="1:12" x14ac:dyDescent="0.2">
      <c r="A187" s="11" t="s">
        <v>310</v>
      </c>
      <c r="B187" s="12" t="s">
        <v>311</v>
      </c>
      <c r="C187" s="12"/>
      <c r="D187" s="12"/>
      <c r="E187" s="12">
        <v>287</v>
      </c>
      <c r="F187" s="12"/>
      <c r="G187" s="12"/>
      <c r="H187" s="12">
        <v>152</v>
      </c>
      <c r="I187" s="12"/>
      <c r="J187" s="12">
        <v>188</v>
      </c>
      <c r="K187" s="12"/>
      <c r="L187" s="12">
        <v>856</v>
      </c>
    </row>
    <row r="188" spans="1:12" x14ac:dyDescent="0.2">
      <c r="A188" s="11" t="s">
        <v>312</v>
      </c>
      <c r="B188" s="12" t="s">
        <v>313</v>
      </c>
      <c r="C188" s="12"/>
      <c r="D188" s="12"/>
      <c r="E188" s="12">
        <v>356</v>
      </c>
      <c r="F188" s="12"/>
      <c r="G188" s="12"/>
      <c r="H188" s="12">
        <v>152</v>
      </c>
      <c r="I188" s="12"/>
      <c r="J188" s="12">
        <v>188</v>
      </c>
      <c r="K188" s="12"/>
      <c r="L188" s="12">
        <v>953</v>
      </c>
    </row>
    <row r="189" spans="1:12" x14ac:dyDescent="0.2">
      <c r="A189" s="11" t="s">
        <v>314</v>
      </c>
      <c r="B189" s="12" t="s">
        <v>315</v>
      </c>
      <c r="C189" s="12"/>
      <c r="D189" s="12"/>
      <c r="E189" s="12">
        <v>1170</v>
      </c>
      <c r="F189" s="12"/>
      <c r="G189" s="12"/>
      <c r="H189" s="12">
        <v>350</v>
      </c>
      <c r="I189" s="12"/>
      <c r="J189" s="12">
        <v>307</v>
      </c>
      <c r="K189" s="12"/>
      <c r="L189" s="12">
        <v>55500</v>
      </c>
    </row>
    <row r="190" spans="1:12" x14ac:dyDescent="0.2">
      <c r="A190" s="11" t="s">
        <v>316</v>
      </c>
      <c r="B190" s="12" t="s">
        <v>317</v>
      </c>
      <c r="C190" s="12"/>
      <c r="D190" s="12"/>
      <c r="E190" s="12">
        <v>1170</v>
      </c>
      <c r="F190" s="12"/>
      <c r="G190" s="12"/>
      <c r="H190" s="12">
        <v>350</v>
      </c>
      <c r="I190" s="12"/>
      <c r="J190" s="12">
        <v>339</v>
      </c>
      <c r="K190" s="12"/>
      <c r="L190" s="12">
        <v>55500</v>
      </c>
    </row>
    <row r="191" spans="1:12" x14ac:dyDescent="0.2">
      <c r="A191" s="11" t="s">
        <v>318</v>
      </c>
      <c r="B191" s="12" t="s">
        <v>319</v>
      </c>
      <c r="C191" s="12"/>
      <c r="D191" s="12"/>
      <c r="E191" s="12">
        <v>1170</v>
      </c>
      <c r="F191" s="12"/>
      <c r="G191" s="12"/>
      <c r="H191" s="12">
        <v>350</v>
      </c>
      <c r="I191" s="12"/>
      <c r="J191" s="12">
        <v>346</v>
      </c>
      <c r="K191" s="12"/>
      <c r="L191" s="12">
        <v>55500</v>
      </c>
    </row>
    <row r="192" spans="1:12" x14ac:dyDescent="0.2">
      <c r="A192" s="11" t="s">
        <v>320</v>
      </c>
      <c r="B192" s="12" t="s">
        <v>321</v>
      </c>
      <c r="C192" s="12"/>
      <c r="D192" s="12"/>
      <c r="E192" s="12">
        <v>239</v>
      </c>
      <c r="F192" s="12"/>
      <c r="G192" s="12"/>
      <c r="H192" s="12">
        <v>125</v>
      </c>
      <c r="I192" s="12"/>
      <c r="J192" s="12">
        <v>150</v>
      </c>
      <c r="K192" s="12"/>
      <c r="L192" s="12">
        <v>400</v>
      </c>
    </row>
    <row r="193" spans="1:12" x14ac:dyDescent="0.2">
      <c r="A193" s="11" t="s">
        <v>322</v>
      </c>
      <c r="B193" s="12" t="s">
        <v>323</v>
      </c>
      <c r="C193" s="12"/>
      <c r="D193" s="12"/>
      <c r="E193" s="12">
        <v>360</v>
      </c>
      <c r="F193" s="12"/>
      <c r="G193" s="12"/>
      <c r="H193" s="12">
        <v>165</v>
      </c>
      <c r="I193" s="12"/>
      <c r="J193" s="12">
        <v>155</v>
      </c>
      <c r="K193" s="12"/>
      <c r="L193" s="12">
        <v>970</v>
      </c>
    </row>
    <row r="194" spans="1:12" x14ac:dyDescent="0.2">
      <c r="A194" s="11" t="s">
        <v>324</v>
      </c>
      <c r="B194" s="12" t="s">
        <v>325</v>
      </c>
      <c r="C194" s="12"/>
      <c r="D194" s="12"/>
      <c r="E194" s="12">
        <v>444</v>
      </c>
      <c r="F194" s="12"/>
      <c r="G194" s="12"/>
      <c r="H194" s="12">
        <v>277</v>
      </c>
      <c r="I194" s="12"/>
      <c r="J194" s="12">
        <v>170</v>
      </c>
      <c r="K194" s="12"/>
      <c r="L194" s="12">
        <v>7000</v>
      </c>
    </row>
    <row r="195" spans="1:12" x14ac:dyDescent="0.2">
      <c r="A195" s="11" t="s">
        <v>326</v>
      </c>
      <c r="B195" s="12" t="s">
        <v>327</v>
      </c>
      <c r="C195" s="12"/>
      <c r="D195" s="12"/>
      <c r="E195" s="12">
        <v>698</v>
      </c>
      <c r="F195" s="12"/>
      <c r="G195" s="12"/>
      <c r="H195" s="12">
        <v>325</v>
      </c>
      <c r="I195" s="12"/>
      <c r="J195" s="12">
        <v>307</v>
      </c>
      <c r="K195" s="12"/>
      <c r="L195" s="12">
        <v>19500</v>
      </c>
    </row>
    <row r="196" spans="1:12" x14ac:dyDescent="0.2">
      <c r="A196" s="11" t="s">
        <v>328</v>
      </c>
      <c r="B196" s="12" t="s">
        <v>329</v>
      </c>
      <c r="C196" s="12"/>
      <c r="D196" s="12"/>
      <c r="E196" s="12">
        <v>698</v>
      </c>
      <c r="F196" s="12"/>
      <c r="G196" s="12"/>
      <c r="H196" s="12">
        <v>384</v>
      </c>
      <c r="I196" s="12"/>
      <c r="J196" s="12">
        <v>307</v>
      </c>
      <c r="K196" s="12"/>
      <c r="L196" s="12">
        <v>19500</v>
      </c>
    </row>
    <row r="197" spans="1:12" x14ac:dyDescent="0.2">
      <c r="A197" s="11" t="s">
        <v>330</v>
      </c>
      <c r="B197" s="12" t="s">
        <v>331</v>
      </c>
      <c r="C197" s="12"/>
      <c r="D197" s="12"/>
      <c r="E197" s="12">
        <v>968</v>
      </c>
      <c r="F197" s="12"/>
      <c r="G197" s="12"/>
      <c r="H197" s="12">
        <v>254</v>
      </c>
      <c r="I197" s="12"/>
      <c r="J197" s="12">
        <v>364</v>
      </c>
      <c r="K197" s="12"/>
      <c r="L197" s="12">
        <v>20000</v>
      </c>
    </row>
    <row r="198" spans="1:12" x14ac:dyDescent="0.2">
      <c r="A198" s="11" t="s">
        <v>332</v>
      </c>
      <c r="B198" s="12" t="s">
        <v>333</v>
      </c>
      <c r="C198" s="12"/>
      <c r="D198" s="12"/>
      <c r="E198" s="12">
        <v>968</v>
      </c>
      <c r="F198" s="12"/>
      <c r="G198" s="12"/>
      <c r="H198" s="12">
        <v>254</v>
      </c>
      <c r="I198" s="12"/>
      <c r="J198" s="12">
        <v>377</v>
      </c>
      <c r="K198" s="12"/>
      <c r="L198" s="12">
        <v>20000</v>
      </c>
    </row>
    <row r="199" spans="1:12" x14ac:dyDescent="0.2">
      <c r="A199" s="11" t="s">
        <v>334</v>
      </c>
      <c r="B199" s="12" t="s">
        <v>333</v>
      </c>
      <c r="C199" s="12"/>
      <c r="D199" s="12"/>
      <c r="E199" s="12">
        <v>968</v>
      </c>
      <c r="F199" s="12"/>
      <c r="G199" s="12"/>
      <c r="H199" s="12">
        <v>290</v>
      </c>
      <c r="I199" s="12"/>
      <c r="J199" s="12">
        <v>376</v>
      </c>
      <c r="K199" s="12"/>
      <c r="L199" s="12">
        <v>22000</v>
      </c>
    </row>
    <row r="200" spans="1:12" x14ac:dyDescent="0.2">
      <c r="A200" s="11" t="s">
        <v>335</v>
      </c>
      <c r="B200" s="12" t="s">
        <v>336</v>
      </c>
      <c r="C200" s="12"/>
      <c r="D200" s="12"/>
      <c r="E200" s="12">
        <v>1074</v>
      </c>
      <c r="F200" s="12"/>
      <c r="G200" s="12"/>
      <c r="H200" s="12">
        <v>299</v>
      </c>
      <c r="I200" s="12"/>
      <c r="J200" s="12">
        <v>369</v>
      </c>
      <c r="K200" s="12"/>
      <c r="L200" s="12">
        <v>22000</v>
      </c>
    </row>
    <row r="201" spans="1:12" x14ac:dyDescent="0.2">
      <c r="A201" s="11" t="s">
        <v>337</v>
      </c>
      <c r="B201" s="12" t="s">
        <v>338</v>
      </c>
      <c r="C201" s="12"/>
      <c r="D201" s="12"/>
      <c r="E201" s="12">
        <v>968</v>
      </c>
      <c r="F201" s="12"/>
      <c r="G201" s="12"/>
      <c r="H201" s="12">
        <v>254</v>
      </c>
      <c r="I201" s="12"/>
      <c r="J201" s="12">
        <v>377</v>
      </c>
      <c r="K201" s="12"/>
      <c r="L201" s="12">
        <v>22000</v>
      </c>
    </row>
    <row r="202" spans="1:12" x14ac:dyDescent="0.2">
      <c r="A202" s="11" t="s">
        <v>339</v>
      </c>
      <c r="B202" s="12" t="s">
        <v>339</v>
      </c>
      <c r="C202" s="12"/>
      <c r="D202" s="12"/>
      <c r="E202" s="12">
        <v>830</v>
      </c>
      <c r="F202" s="12"/>
      <c r="G202" s="12"/>
      <c r="H202" s="12">
        <v>250</v>
      </c>
      <c r="I202" s="12"/>
      <c r="J202" s="12">
        <v>390</v>
      </c>
      <c r="K202" s="12"/>
      <c r="L202" s="12">
        <v>18000</v>
      </c>
    </row>
    <row r="203" spans="1:12" x14ac:dyDescent="0.2">
      <c r="A203" s="13" t="s">
        <v>340</v>
      </c>
      <c r="B203" s="8" t="s">
        <v>341</v>
      </c>
      <c r="C203" s="8"/>
      <c r="D203" s="8"/>
      <c r="E203" s="8">
        <v>1047</v>
      </c>
      <c r="F203" s="8"/>
      <c r="G203" s="8"/>
      <c r="H203" s="8">
        <v>290</v>
      </c>
      <c r="I203" s="8"/>
      <c r="J203" s="8">
        <v>372</v>
      </c>
      <c r="K203" s="8"/>
      <c r="L203" s="8">
        <v>20000</v>
      </c>
    </row>
    <row r="204" spans="1:12" x14ac:dyDescent="0.2">
      <c r="A204" s="13" t="s">
        <v>342</v>
      </c>
      <c r="B204" s="8" t="s">
        <v>343</v>
      </c>
      <c r="C204" s="8"/>
      <c r="D204" s="8"/>
      <c r="E204" s="8">
        <v>402</v>
      </c>
      <c r="F204" s="8"/>
      <c r="G204" s="8"/>
      <c r="H204" s="8">
        <v>179</v>
      </c>
      <c r="I204" s="8"/>
      <c r="J204" s="8">
        <v>169</v>
      </c>
      <c r="K204" s="8"/>
      <c r="L204" s="8">
        <v>1370</v>
      </c>
    </row>
    <row r="205" spans="1:12" x14ac:dyDescent="0.2">
      <c r="A205" s="13" t="s">
        <v>344</v>
      </c>
      <c r="B205" s="8" t="s">
        <v>344</v>
      </c>
      <c r="C205" s="8"/>
      <c r="D205" s="8"/>
      <c r="E205" s="8">
        <v>640</v>
      </c>
      <c r="F205" s="8"/>
      <c r="G205" s="8"/>
      <c r="H205" s="8">
        <v>250</v>
      </c>
      <c r="I205" s="8"/>
      <c r="J205" s="8">
        <v>275</v>
      </c>
      <c r="K205" s="8"/>
      <c r="L205" s="8">
        <v>9000</v>
      </c>
    </row>
    <row r="206" spans="1:12" x14ac:dyDescent="0.2">
      <c r="A206" s="13" t="s">
        <v>345</v>
      </c>
      <c r="B206" s="8" t="s">
        <v>43</v>
      </c>
      <c r="C206" s="8"/>
      <c r="D206" s="8"/>
      <c r="E206" s="8">
        <v>455</v>
      </c>
      <c r="F206" s="8"/>
      <c r="G206" s="8"/>
      <c r="H206" s="8">
        <v>234</v>
      </c>
      <c r="I206" s="8"/>
      <c r="J206" s="8">
        <v>289</v>
      </c>
      <c r="K206" s="8"/>
      <c r="L206" s="8">
        <v>3000</v>
      </c>
    </row>
    <row r="207" spans="1:12" x14ac:dyDescent="0.2">
      <c r="A207" s="13" t="s">
        <v>346</v>
      </c>
      <c r="B207" s="8" t="s">
        <v>346</v>
      </c>
      <c r="C207" s="8"/>
      <c r="D207" s="8"/>
      <c r="E207" s="8">
        <v>530</v>
      </c>
      <c r="F207" s="8"/>
      <c r="G207" s="8"/>
      <c r="H207" s="8">
        <v>175</v>
      </c>
      <c r="I207" s="8"/>
      <c r="J207" s="8">
        <v>170</v>
      </c>
      <c r="K207" s="8"/>
      <c r="L207" s="8">
        <v>2000</v>
      </c>
    </row>
    <row r="208" spans="1:12" x14ac:dyDescent="0.2">
      <c r="A208" s="13" t="s">
        <v>45</v>
      </c>
      <c r="B208" s="8" t="s">
        <v>45</v>
      </c>
      <c r="C208" s="8"/>
      <c r="D208" s="8"/>
      <c r="E208" s="8">
        <v>455</v>
      </c>
      <c r="F208" s="8"/>
      <c r="G208" s="8"/>
      <c r="H208" s="8">
        <v>234</v>
      </c>
      <c r="I208" s="8"/>
      <c r="J208" s="8">
        <v>238</v>
      </c>
      <c r="K208" s="8"/>
      <c r="L208" s="8">
        <v>3000</v>
      </c>
    </row>
    <row r="209" spans="1:12" x14ac:dyDescent="0.2">
      <c r="A209" s="13" t="s">
        <v>347</v>
      </c>
      <c r="B209" s="12" t="s">
        <v>348</v>
      </c>
      <c r="C209" s="12"/>
      <c r="D209" s="12"/>
      <c r="E209" s="8">
        <v>455</v>
      </c>
      <c r="F209" s="8"/>
      <c r="G209" s="8"/>
      <c r="H209" s="8">
        <v>234</v>
      </c>
      <c r="I209" s="8"/>
      <c r="J209" s="8">
        <v>238</v>
      </c>
      <c r="K209" s="8"/>
      <c r="L209" s="8">
        <v>3000</v>
      </c>
    </row>
    <row r="210" spans="1:12" x14ac:dyDescent="0.2">
      <c r="A210" s="13" t="s">
        <v>349</v>
      </c>
      <c r="B210" s="12" t="s">
        <v>350</v>
      </c>
      <c r="C210" s="12"/>
      <c r="D210" s="12"/>
      <c r="E210" s="8">
        <v>500</v>
      </c>
      <c r="F210" s="8"/>
      <c r="G210" s="8"/>
      <c r="H210" s="8">
        <v>239</v>
      </c>
      <c r="I210" s="8"/>
      <c r="J210" s="8">
        <v>294</v>
      </c>
      <c r="K210" s="8"/>
      <c r="L210" s="8">
        <v>5000</v>
      </c>
    </row>
    <row r="211" spans="1:12" x14ac:dyDescent="0.2">
      <c r="A211" s="13" t="s">
        <v>351</v>
      </c>
      <c r="B211" s="12" t="s">
        <v>351</v>
      </c>
      <c r="C211" s="12"/>
      <c r="D211" s="12"/>
      <c r="E211" s="8">
        <v>480</v>
      </c>
      <c r="F211" s="8"/>
      <c r="G211" s="8"/>
      <c r="H211" s="8">
        <v>225</v>
      </c>
      <c r="I211" s="8"/>
      <c r="J211" s="8">
        <v>212</v>
      </c>
      <c r="K211" s="8"/>
      <c r="L211" s="8">
        <v>3000</v>
      </c>
    </row>
    <row r="212" spans="1:12" x14ac:dyDescent="0.2">
      <c r="A212" s="13" t="s">
        <v>352</v>
      </c>
      <c r="B212" s="12" t="s">
        <v>352</v>
      </c>
      <c r="C212" s="12"/>
      <c r="D212" s="12"/>
      <c r="E212" s="8">
        <v>635</v>
      </c>
      <c r="F212" s="8"/>
      <c r="G212" s="8"/>
      <c r="H212" s="8">
        <v>218</v>
      </c>
      <c r="I212" s="8"/>
      <c r="J212" s="8">
        <v>286</v>
      </c>
      <c r="K212" s="8"/>
      <c r="L212" s="8">
        <v>6000</v>
      </c>
    </row>
    <row r="213" spans="1:12" x14ac:dyDescent="0.2">
      <c r="A213" s="13" t="s">
        <v>353</v>
      </c>
      <c r="B213" s="8" t="s">
        <v>353</v>
      </c>
      <c r="C213" s="8"/>
      <c r="D213" s="8"/>
      <c r="E213" s="8">
        <v>1280</v>
      </c>
      <c r="F213" s="8"/>
      <c r="G213" s="8"/>
      <c r="H213" s="8">
        <v>260</v>
      </c>
      <c r="I213" s="8"/>
      <c r="J213" s="8">
        <v>164</v>
      </c>
      <c r="K213" s="8"/>
      <c r="L213" s="8">
        <v>10000</v>
      </c>
    </row>
    <row r="214" spans="1:12" x14ac:dyDescent="0.2">
      <c r="A214" s="13" t="s">
        <v>354</v>
      </c>
      <c r="B214" s="8" t="s">
        <v>354</v>
      </c>
      <c r="C214" s="8"/>
      <c r="D214" s="8"/>
      <c r="E214" s="8">
        <v>1461</v>
      </c>
      <c r="F214" s="8"/>
      <c r="G214" s="8"/>
      <c r="H214" s="8">
        <v>279</v>
      </c>
      <c r="I214" s="8"/>
      <c r="J214" s="8">
        <v>335</v>
      </c>
      <c r="K214" s="8"/>
      <c r="L214" s="8">
        <v>14000</v>
      </c>
    </row>
    <row r="215" spans="1:12" x14ac:dyDescent="0.2">
      <c r="A215" s="13" t="s">
        <v>355</v>
      </c>
      <c r="B215" s="8" t="s">
        <v>355</v>
      </c>
      <c r="C215" s="8"/>
      <c r="D215" s="8"/>
      <c r="E215" s="8">
        <v>1461</v>
      </c>
      <c r="F215" s="8"/>
      <c r="G215" s="8"/>
      <c r="H215" s="8">
        <v>299</v>
      </c>
      <c r="I215" s="8"/>
      <c r="J215" s="8">
        <v>335</v>
      </c>
      <c r="K215" s="8"/>
      <c r="L215" s="8">
        <v>22000</v>
      </c>
    </row>
    <row r="216" spans="1:12" x14ac:dyDescent="0.2">
      <c r="A216" s="13" t="s">
        <v>356</v>
      </c>
      <c r="B216" s="8" t="s">
        <v>356</v>
      </c>
      <c r="C216" s="8"/>
      <c r="D216" s="8"/>
      <c r="E216" s="8">
        <v>923</v>
      </c>
      <c r="F216" s="8"/>
      <c r="G216" s="8"/>
      <c r="H216" s="8">
        <v>255</v>
      </c>
      <c r="I216" s="8"/>
      <c r="J216" s="8">
        <v>118</v>
      </c>
      <c r="K216" s="8"/>
      <c r="L216" s="8">
        <v>4000</v>
      </c>
    </row>
    <row r="217" spans="1:12" x14ac:dyDescent="0.2">
      <c r="A217" s="13" t="s">
        <v>357</v>
      </c>
      <c r="B217" s="8" t="s">
        <v>357</v>
      </c>
      <c r="C217" s="8"/>
      <c r="D217" s="8"/>
      <c r="E217" s="8">
        <v>923</v>
      </c>
      <c r="F217" s="8"/>
      <c r="G217" s="8"/>
      <c r="H217" s="8">
        <v>255</v>
      </c>
      <c r="I217" s="8"/>
      <c r="J217" s="8">
        <v>118</v>
      </c>
      <c r="K217" s="8"/>
      <c r="L217" s="8">
        <v>12000</v>
      </c>
    </row>
    <row r="218" spans="1:12" x14ac:dyDescent="0.2">
      <c r="A218" s="13" t="s">
        <v>358</v>
      </c>
      <c r="B218" s="8" t="s">
        <v>358</v>
      </c>
      <c r="C218" s="8"/>
      <c r="D218" s="8"/>
      <c r="E218" s="8">
        <v>789</v>
      </c>
      <c r="F218" s="8"/>
      <c r="G218" s="8"/>
      <c r="H218" s="8">
        <v>260</v>
      </c>
      <c r="I218" s="8"/>
      <c r="J218" s="8">
        <v>310</v>
      </c>
      <c r="K218" s="8"/>
      <c r="L218" s="8">
        <v>3000</v>
      </c>
    </row>
    <row r="219" spans="1:12" x14ac:dyDescent="0.2">
      <c r="A219" s="13" t="s">
        <v>359</v>
      </c>
      <c r="B219" s="8" t="s">
        <v>359</v>
      </c>
      <c r="C219" s="8"/>
      <c r="D219" s="8"/>
      <c r="E219" s="8">
        <v>550</v>
      </c>
      <c r="F219" s="8"/>
      <c r="G219" s="8"/>
      <c r="H219" s="8">
        <v>200</v>
      </c>
      <c r="I219" s="8"/>
      <c r="J219" s="8">
        <v>270</v>
      </c>
      <c r="K219" s="8"/>
      <c r="L219" s="8">
        <v>5000</v>
      </c>
    </row>
    <row r="220" spans="1:12" x14ac:dyDescent="0.2">
      <c r="A220" s="13" t="s">
        <v>360</v>
      </c>
      <c r="B220" s="8" t="s">
        <v>360</v>
      </c>
      <c r="C220" s="8"/>
      <c r="D220" s="8"/>
      <c r="E220" s="8">
        <v>532</v>
      </c>
      <c r="F220" s="8"/>
      <c r="G220" s="8"/>
      <c r="H220" s="8">
        <v>196</v>
      </c>
      <c r="I220" s="8"/>
      <c r="J220" s="8">
        <v>140</v>
      </c>
      <c r="K220" s="8"/>
      <c r="L220" s="8">
        <v>2000</v>
      </c>
    </row>
    <row r="221" spans="1:12" x14ac:dyDescent="0.2">
      <c r="A221" s="13" t="s">
        <v>361</v>
      </c>
      <c r="B221" s="8" t="s">
        <v>361</v>
      </c>
      <c r="C221" s="8"/>
      <c r="D221" s="8"/>
      <c r="E221" s="8">
        <v>402</v>
      </c>
      <c r="F221" s="8"/>
      <c r="G221" s="8"/>
      <c r="H221" s="8">
        <v>216</v>
      </c>
      <c r="I221" s="8"/>
      <c r="J221" s="8">
        <v>263</v>
      </c>
      <c r="K221" s="8"/>
      <c r="L221" s="8">
        <v>2200</v>
      </c>
    </row>
    <row r="222" spans="1:12" x14ac:dyDescent="0.2">
      <c r="A222" s="13" t="s">
        <v>362</v>
      </c>
      <c r="B222" s="8" t="s">
        <v>362</v>
      </c>
      <c r="C222" s="8"/>
      <c r="D222" s="8"/>
      <c r="E222" s="8">
        <v>302</v>
      </c>
      <c r="F222" s="8"/>
      <c r="G222" s="8"/>
      <c r="H222" s="8">
        <v>193</v>
      </c>
      <c r="I222" s="8"/>
      <c r="J222" s="8">
        <v>134</v>
      </c>
      <c r="K222" s="8"/>
      <c r="L222" s="8">
        <v>1000</v>
      </c>
    </row>
    <row r="223" spans="1:12" x14ac:dyDescent="0.2">
      <c r="A223" s="13" t="s">
        <v>363</v>
      </c>
      <c r="B223" s="12" t="s">
        <v>363</v>
      </c>
      <c r="C223" s="12"/>
      <c r="D223" s="12"/>
      <c r="E223" s="8">
        <v>439</v>
      </c>
      <c r="F223" s="8"/>
      <c r="G223" s="8"/>
      <c r="H223" s="8">
        <v>213</v>
      </c>
      <c r="I223" s="8"/>
      <c r="J223" s="8">
        <v>250</v>
      </c>
      <c r="K223" s="8"/>
      <c r="L223" s="8">
        <v>4000</v>
      </c>
    </row>
    <row r="224" spans="1:12" x14ac:dyDescent="0.2">
      <c r="A224" s="11" t="s">
        <v>364</v>
      </c>
      <c r="B224" s="12" t="s">
        <v>365</v>
      </c>
      <c r="C224" s="12"/>
      <c r="D224" s="12"/>
      <c r="E224" s="12">
        <v>1200</v>
      </c>
      <c r="F224" s="12"/>
      <c r="G224" s="12"/>
      <c r="H224" s="12">
        <v>250</v>
      </c>
      <c r="I224" s="12"/>
      <c r="J224" s="12">
        <v>395</v>
      </c>
      <c r="K224" s="12"/>
      <c r="L224" s="12">
        <v>10880</v>
      </c>
    </row>
    <row r="225" spans="1:12" x14ac:dyDescent="0.2">
      <c r="A225" s="13" t="s">
        <v>366</v>
      </c>
      <c r="B225" s="12" t="s">
        <v>366</v>
      </c>
      <c r="C225" s="12"/>
      <c r="D225" s="12"/>
      <c r="E225" s="8">
        <v>494</v>
      </c>
      <c r="F225" s="8"/>
      <c r="G225" s="8"/>
      <c r="H225" s="8">
        <v>186</v>
      </c>
      <c r="I225" s="8"/>
      <c r="J225" s="8">
        <v>212</v>
      </c>
      <c r="K225" s="8"/>
      <c r="L225" s="8">
        <v>2000</v>
      </c>
    </row>
    <row r="226" spans="1:12" x14ac:dyDescent="0.2">
      <c r="A226" s="13" t="s">
        <v>367</v>
      </c>
      <c r="B226" s="12" t="s">
        <v>367</v>
      </c>
      <c r="C226" s="12"/>
      <c r="D226" s="12"/>
      <c r="E226" s="8">
        <v>468</v>
      </c>
      <c r="F226" s="8"/>
      <c r="G226" s="8"/>
      <c r="H226" s="8">
        <v>196</v>
      </c>
      <c r="I226" s="8"/>
      <c r="J226" s="8">
        <v>185</v>
      </c>
      <c r="K226" s="8"/>
      <c r="L226" s="8">
        <v>2000</v>
      </c>
    </row>
    <row r="227" spans="1:12" x14ac:dyDescent="0.2">
      <c r="A227" s="13" t="s">
        <v>368</v>
      </c>
      <c r="B227" s="12" t="s">
        <v>368</v>
      </c>
      <c r="C227" s="12"/>
      <c r="D227" s="12"/>
      <c r="E227" s="8">
        <v>700</v>
      </c>
      <c r="F227" s="8"/>
      <c r="G227" s="8"/>
      <c r="H227" s="8">
        <v>240</v>
      </c>
      <c r="I227" s="8"/>
      <c r="J227" s="8">
        <v>285</v>
      </c>
      <c r="K227" s="8"/>
      <c r="L227" s="8">
        <v>4000</v>
      </c>
    </row>
    <row r="228" spans="1:12" x14ac:dyDescent="0.2">
      <c r="A228" s="13" t="s">
        <v>369</v>
      </c>
      <c r="B228" s="12" t="s">
        <v>369</v>
      </c>
      <c r="C228" s="12"/>
      <c r="D228" s="12"/>
      <c r="E228" s="8">
        <v>788</v>
      </c>
      <c r="F228" s="8"/>
      <c r="G228" s="8"/>
      <c r="H228" s="8">
        <v>265</v>
      </c>
      <c r="I228" s="8"/>
      <c r="J228" s="8">
        <v>328</v>
      </c>
      <c r="K228" s="8"/>
      <c r="L228" s="8">
        <v>10000</v>
      </c>
    </row>
    <row r="229" spans="1:12" x14ac:dyDescent="0.2">
      <c r="A229" s="13" t="s">
        <v>370</v>
      </c>
      <c r="B229" s="12" t="s">
        <v>371</v>
      </c>
      <c r="C229" s="12"/>
      <c r="D229" s="12"/>
      <c r="E229" s="8">
        <v>620</v>
      </c>
      <c r="F229" s="8"/>
      <c r="G229" s="8"/>
      <c r="H229" s="8">
        <v>230</v>
      </c>
      <c r="I229" s="8"/>
      <c r="J229" s="8">
        <v>296</v>
      </c>
      <c r="K229" s="8"/>
      <c r="L229" s="8">
        <v>8000</v>
      </c>
    </row>
    <row r="230" spans="1:12" x14ac:dyDescent="0.2">
      <c r="A230" s="13" t="s">
        <v>372</v>
      </c>
      <c r="B230" s="12" t="s">
        <v>373</v>
      </c>
      <c r="C230" s="12"/>
      <c r="D230" s="12"/>
      <c r="E230" s="8">
        <v>510</v>
      </c>
      <c r="F230" s="8"/>
      <c r="G230" s="8"/>
      <c r="H230" s="8">
        <v>180</v>
      </c>
      <c r="I230" s="8"/>
      <c r="J230" s="8">
        <v>220</v>
      </c>
      <c r="K230" s="8"/>
      <c r="L230" s="8">
        <v>3500</v>
      </c>
    </row>
    <row r="231" spans="1:12" x14ac:dyDescent="0.2">
      <c r="A231" s="11" t="s">
        <v>374</v>
      </c>
      <c r="B231" s="12" t="s">
        <v>375</v>
      </c>
      <c r="C231" s="12"/>
      <c r="D231" s="12"/>
      <c r="E231" s="12">
        <v>525</v>
      </c>
      <c r="F231" s="12"/>
      <c r="G231" s="12"/>
      <c r="H231" s="12">
        <v>195</v>
      </c>
      <c r="I231" s="12"/>
      <c r="J231" s="12">
        <v>255</v>
      </c>
      <c r="K231" s="12"/>
      <c r="L231" s="12">
        <v>3200</v>
      </c>
    </row>
    <row r="232" spans="1:12" x14ac:dyDescent="0.2">
      <c r="A232" s="13" t="s">
        <v>376</v>
      </c>
      <c r="B232" s="12" t="s">
        <v>377</v>
      </c>
      <c r="C232" s="12"/>
      <c r="D232" s="12"/>
      <c r="E232" s="12">
        <v>870</v>
      </c>
      <c r="F232" s="12"/>
      <c r="G232" s="12"/>
      <c r="H232" s="12">
        <v>299</v>
      </c>
      <c r="I232" s="12"/>
      <c r="J232" s="12">
        <v>322</v>
      </c>
      <c r="K232" s="12"/>
      <c r="L232" s="12">
        <v>22000</v>
      </c>
    </row>
    <row r="233" spans="1:12" x14ac:dyDescent="0.2">
      <c r="A233" s="13" t="s">
        <v>378</v>
      </c>
      <c r="B233" s="12" t="s">
        <v>379</v>
      </c>
      <c r="C233" s="12"/>
      <c r="D233" s="12"/>
      <c r="E233" s="12">
        <v>980</v>
      </c>
      <c r="F233" s="12"/>
      <c r="G233" s="12"/>
      <c r="H233" s="12">
        <v>280</v>
      </c>
      <c r="I233" s="12"/>
      <c r="J233" s="12">
        <v>326</v>
      </c>
      <c r="K233" s="12"/>
      <c r="L233" s="12">
        <v>23500</v>
      </c>
    </row>
    <row r="234" spans="1:12" x14ac:dyDescent="0.2">
      <c r="A234" s="13" t="s">
        <v>380</v>
      </c>
      <c r="B234" s="12" t="s">
        <v>381</v>
      </c>
      <c r="C234" s="12"/>
      <c r="D234" s="12"/>
      <c r="E234" s="12">
        <v>894</v>
      </c>
      <c r="F234" s="12"/>
      <c r="G234" s="12"/>
      <c r="H234" s="12">
        <v>259</v>
      </c>
      <c r="I234" s="12"/>
      <c r="J234" s="12">
        <v>344</v>
      </c>
      <c r="K234" s="12"/>
      <c r="L234" s="12">
        <v>15000</v>
      </c>
    </row>
    <row r="235" spans="1:12" x14ac:dyDescent="0.2">
      <c r="A235" s="13" t="s">
        <v>382</v>
      </c>
      <c r="B235" s="12"/>
      <c r="C235" s="12"/>
      <c r="D235" s="12"/>
      <c r="E235" s="12">
        <v>882</v>
      </c>
      <c r="F235" s="12"/>
      <c r="G235" s="12"/>
      <c r="H235" s="12">
        <v>253</v>
      </c>
      <c r="I235" s="12"/>
      <c r="J235" s="12">
        <v>380</v>
      </c>
      <c r="K235" s="12"/>
      <c r="L235" s="12">
        <v>13000</v>
      </c>
    </row>
    <row r="236" spans="1:12" x14ac:dyDescent="0.2">
      <c r="A236" s="13" t="s">
        <v>383</v>
      </c>
      <c r="B236" s="8" t="s">
        <v>384</v>
      </c>
      <c r="C236" s="8"/>
      <c r="D236" s="8"/>
      <c r="E236" s="12">
        <v>530</v>
      </c>
      <c r="F236" s="12"/>
      <c r="G236" s="12"/>
      <c r="H236" s="12">
        <v>230</v>
      </c>
      <c r="I236" s="12"/>
      <c r="J236" s="12">
        <v>219</v>
      </c>
      <c r="K236" s="12"/>
      <c r="L236" s="12">
        <v>2000</v>
      </c>
    </row>
    <row r="237" spans="1:12" x14ac:dyDescent="0.2">
      <c r="A237" s="13" t="s">
        <v>385</v>
      </c>
      <c r="B237" s="8" t="s">
        <v>386</v>
      </c>
      <c r="C237" s="8"/>
      <c r="D237" s="8"/>
      <c r="E237" s="12">
        <v>730</v>
      </c>
      <c r="F237" s="12"/>
      <c r="G237" s="12"/>
      <c r="H237" s="12">
        <v>243</v>
      </c>
      <c r="I237" s="12"/>
      <c r="J237" s="12">
        <v>285</v>
      </c>
      <c r="K237" s="12"/>
      <c r="L237" s="12">
        <v>10000</v>
      </c>
    </row>
    <row r="238" spans="1:12" x14ac:dyDescent="0.2">
      <c r="A238" s="13" t="s">
        <v>387</v>
      </c>
      <c r="B238" s="8" t="s">
        <v>388</v>
      </c>
      <c r="C238" s="8"/>
      <c r="D238" s="8"/>
      <c r="E238" s="12">
        <v>915</v>
      </c>
      <c r="F238" s="12"/>
      <c r="G238" s="12"/>
      <c r="H238" s="12">
        <v>247</v>
      </c>
      <c r="I238" s="12"/>
      <c r="J238" s="12">
        <v>380</v>
      </c>
      <c r="K238" s="12"/>
      <c r="L238" s="12">
        <v>10000</v>
      </c>
    </row>
    <row r="239" spans="1:12" x14ac:dyDescent="0.2">
      <c r="A239" s="13" t="s">
        <v>389</v>
      </c>
      <c r="B239" s="8" t="s">
        <v>390</v>
      </c>
      <c r="C239" s="8"/>
      <c r="D239" s="8"/>
      <c r="E239" s="12">
        <v>847</v>
      </c>
      <c r="F239" s="12"/>
      <c r="G239" s="12"/>
      <c r="H239" s="12">
        <v>254</v>
      </c>
      <c r="I239" s="12"/>
      <c r="J239" s="12">
        <v>301</v>
      </c>
      <c r="K239" s="12"/>
      <c r="L239" s="12">
        <v>14000</v>
      </c>
    </row>
    <row r="240" spans="1:12" x14ac:dyDescent="0.2">
      <c r="A240" s="13" t="s">
        <v>391</v>
      </c>
      <c r="B240" s="12" t="s">
        <v>392</v>
      </c>
      <c r="C240" s="12"/>
      <c r="D240" s="12"/>
      <c r="E240" s="12">
        <v>847</v>
      </c>
      <c r="F240" s="12"/>
      <c r="G240" s="12"/>
      <c r="H240" s="12">
        <v>254</v>
      </c>
      <c r="I240" s="12"/>
      <c r="J240" s="12">
        <v>397</v>
      </c>
      <c r="K240" s="12"/>
      <c r="L240" s="12">
        <v>24000</v>
      </c>
    </row>
    <row r="241" spans="1:12" x14ac:dyDescent="0.2">
      <c r="A241" s="13" t="s">
        <v>393</v>
      </c>
      <c r="B241" s="8" t="s">
        <v>394</v>
      </c>
      <c r="C241" s="8"/>
      <c r="D241" s="8"/>
      <c r="E241" s="12">
        <v>730</v>
      </c>
      <c r="F241" s="12"/>
      <c r="G241" s="12"/>
      <c r="H241" s="12">
        <v>243</v>
      </c>
      <c r="I241" s="12"/>
      <c r="J241" s="12">
        <v>342</v>
      </c>
      <c r="K241" s="12"/>
      <c r="L241" s="12">
        <v>10700</v>
      </c>
    </row>
    <row r="242" spans="1:12" x14ac:dyDescent="0.2">
      <c r="A242" s="13" t="s">
        <v>395</v>
      </c>
      <c r="B242" s="12" t="s">
        <v>396</v>
      </c>
      <c r="C242" s="12"/>
      <c r="D242" s="12"/>
      <c r="E242" s="12">
        <v>730</v>
      </c>
      <c r="F242" s="12"/>
      <c r="G242" s="12"/>
      <c r="H242" s="12">
        <v>243</v>
      </c>
      <c r="I242" s="12"/>
      <c r="J242" s="12">
        <v>342</v>
      </c>
      <c r="K242" s="12"/>
      <c r="L242" s="12">
        <v>9600</v>
      </c>
    </row>
    <row r="243" spans="1:12" x14ac:dyDescent="0.2">
      <c r="A243" s="13" t="s">
        <v>397</v>
      </c>
      <c r="B243" s="12" t="s">
        <v>398</v>
      </c>
      <c r="C243" s="12"/>
      <c r="D243" s="12"/>
      <c r="E243" s="12">
        <v>730</v>
      </c>
      <c r="F243" s="12"/>
      <c r="G243" s="12"/>
      <c r="H243" s="12">
        <v>243</v>
      </c>
      <c r="I243" s="12"/>
      <c r="J243" s="12">
        <v>285</v>
      </c>
      <c r="K243" s="12"/>
      <c r="L243" s="12">
        <v>10600</v>
      </c>
    </row>
    <row r="244" spans="1:12" x14ac:dyDescent="0.2">
      <c r="A244" s="13" t="s">
        <v>399</v>
      </c>
      <c r="B244" s="12" t="s">
        <v>400</v>
      </c>
      <c r="C244" s="12"/>
      <c r="D244" s="12"/>
      <c r="E244" s="12">
        <v>730</v>
      </c>
      <c r="F244" s="12"/>
      <c r="G244" s="12"/>
      <c r="H244" s="12">
        <v>243</v>
      </c>
      <c r="I244" s="12"/>
      <c r="J244" s="12">
        <v>369</v>
      </c>
      <c r="K244" s="12"/>
      <c r="L244" s="12">
        <v>11900</v>
      </c>
    </row>
    <row r="245" spans="1:12" x14ac:dyDescent="0.2">
      <c r="A245" s="13" t="s">
        <v>401</v>
      </c>
      <c r="B245" s="12" t="s">
        <v>402</v>
      </c>
      <c r="C245" s="12"/>
      <c r="D245" s="12"/>
      <c r="E245" s="8">
        <v>730</v>
      </c>
      <c r="F245" s="8"/>
      <c r="G245" s="8"/>
      <c r="H245" s="8">
        <v>243</v>
      </c>
      <c r="I245" s="8"/>
      <c r="J245" s="8">
        <v>342</v>
      </c>
      <c r="K245" s="8"/>
      <c r="L245" s="8">
        <v>8700</v>
      </c>
    </row>
    <row r="246" spans="1:12" x14ac:dyDescent="0.2">
      <c r="A246" s="13" t="s">
        <v>403</v>
      </c>
      <c r="B246" s="12" t="s">
        <v>404</v>
      </c>
      <c r="C246" s="12"/>
      <c r="D246" s="12"/>
      <c r="E246" s="8">
        <v>775</v>
      </c>
      <c r="F246" s="8"/>
      <c r="G246" s="8"/>
      <c r="H246" s="8">
        <v>250</v>
      </c>
      <c r="I246" s="8"/>
      <c r="J246" s="8">
        <v>302</v>
      </c>
      <c r="K246" s="8"/>
      <c r="L246" s="8">
        <v>14000</v>
      </c>
    </row>
    <row r="247" spans="1:12" x14ac:dyDescent="0.2">
      <c r="A247" s="13" t="s">
        <v>405</v>
      </c>
      <c r="B247" s="12" t="s">
        <v>406</v>
      </c>
      <c r="C247" s="12"/>
      <c r="D247" s="12"/>
      <c r="E247" s="8">
        <v>730</v>
      </c>
      <c r="F247" s="8"/>
      <c r="G247" s="8"/>
      <c r="H247" s="8">
        <v>243</v>
      </c>
      <c r="I247" s="8"/>
      <c r="J247" s="8">
        <v>347</v>
      </c>
      <c r="K247" s="8"/>
      <c r="L247" s="8">
        <v>9700</v>
      </c>
    </row>
    <row r="248" spans="1:12" x14ac:dyDescent="0.2">
      <c r="A248" s="13" t="s">
        <v>407</v>
      </c>
      <c r="B248" s="12" t="s">
        <v>408</v>
      </c>
      <c r="C248" s="12"/>
      <c r="D248" s="12"/>
      <c r="E248" s="8">
        <v>955</v>
      </c>
      <c r="F248" s="8"/>
      <c r="G248" s="8"/>
      <c r="H248" s="8">
        <v>250</v>
      </c>
      <c r="I248" s="8"/>
      <c r="J248" s="8">
        <v>360</v>
      </c>
      <c r="K248" s="8"/>
      <c r="L248" s="8">
        <v>18100</v>
      </c>
    </row>
    <row r="249" spans="1:12" x14ac:dyDescent="0.2">
      <c r="A249" s="13" t="s">
        <v>409</v>
      </c>
      <c r="B249" s="12" t="s">
        <v>410</v>
      </c>
      <c r="C249" s="12"/>
      <c r="D249" s="12"/>
      <c r="E249" s="8">
        <v>995</v>
      </c>
      <c r="F249" s="8"/>
      <c r="G249" s="8"/>
      <c r="H249" s="8">
        <v>250</v>
      </c>
      <c r="I249" s="8"/>
      <c r="J249" s="8">
        <v>370</v>
      </c>
      <c r="K249" s="8"/>
      <c r="L249" s="8">
        <v>16000</v>
      </c>
    </row>
    <row r="250" spans="1:12" x14ac:dyDescent="0.2">
      <c r="A250" s="13" t="s">
        <v>411</v>
      </c>
      <c r="B250" s="12" t="s">
        <v>412</v>
      </c>
      <c r="C250" s="12"/>
      <c r="D250" s="12"/>
      <c r="E250" s="8">
        <v>938</v>
      </c>
      <c r="F250" s="8"/>
      <c r="G250" s="8"/>
      <c r="H250" s="8">
        <v>250</v>
      </c>
      <c r="I250" s="8"/>
      <c r="J250" s="8">
        <v>400</v>
      </c>
      <c r="K250" s="8"/>
      <c r="L250" s="8">
        <v>27000</v>
      </c>
    </row>
    <row r="251" spans="1:12" x14ac:dyDescent="0.2">
      <c r="A251" s="13" t="s">
        <v>413</v>
      </c>
      <c r="B251" s="8" t="s">
        <v>414</v>
      </c>
      <c r="C251" s="8"/>
      <c r="D251" s="8"/>
      <c r="E251" s="8">
        <v>935</v>
      </c>
      <c r="F251" s="8"/>
      <c r="G251" s="8"/>
      <c r="H251" s="8">
        <v>250</v>
      </c>
      <c r="I251" s="8"/>
      <c r="J251" s="8">
        <v>358</v>
      </c>
      <c r="K251" s="8"/>
      <c r="L251" s="8">
        <v>21870</v>
      </c>
    </row>
    <row r="252" spans="1:12" x14ac:dyDescent="0.2">
      <c r="A252" s="13" t="s">
        <v>415</v>
      </c>
      <c r="B252" s="12" t="s">
        <v>416</v>
      </c>
      <c r="C252" s="12"/>
      <c r="D252" s="12"/>
      <c r="E252" s="8">
        <v>880</v>
      </c>
      <c r="F252" s="8"/>
      <c r="G252" s="8"/>
      <c r="H252" s="8">
        <v>255</v>
      </c>
      <c r="I252" s="8"/>
      <c r="J252" s="8">
        <v>347</v>
      </c>
      <c r="K252" s="8"/>
      <c r="L252" s="8">
        <v>12000</v>
      </c>
    </row>
    <row r="253" spans="1:12" x14ac:dyDescent="0.2">
      <c r="A253" s="13" t="s">
        <v>417</v>
      </c>
      <c r="B253" s="12" t="s">
        <v>418</v>
      </c>
      <c r="C253" s="12"/>
      <c r="D253" s="12"/>
      <c r="E253" s="8">
        <v>730</v>
      </c>
      <c r="F253" s="8"/>
      <c r="G253" s="8"/>
      <c r="H253" s="8">
        <v>243</v>
      </c>
      <c r="I253" s="8"/>
      <c r="J253" s="8">
        <v>285</v>
      </c>
      <c r="K253" s="8"/>
      <c r="L253" s="8">
        <v>10000</v>
      </c>
    </row>
    <row r="254" spans="1:12" x14ac:dyDescent="0.2">
      <c r="A254" s="13" t="s">
        <v>419</v>
      </c>
      <c r="B254" s="12" t="s">
        <v>420</v>
      </c>
      <c r="C254" s="12"/>
      <c r="D254" s="12"/>
      <c r="E254" s="8">
        <v>924</v>
      </c>
      <c r="F254" s="8"/>
      <c r="G254" s="8"/>
      <c r="H254" s="8">
        <v>252</v>
      </c>
      <c r="I254" s="8"/>
      <c r="J254" s="8">
        <v>350</v>
      </c>
      <c r="K254" s="8"/>
      <c r="L254" s="8">
        <v>14000</v>
      </c>
    </row>
    <row r="255" spans="1:12" x14ac:dyDescent="0.2">
      <c r="A255" s="13" t="s">
        <v>421</v>
      </c>
      <c r="B255" s="12" t="s">
        <v>422</v>
      </c>
      <c r="C255" s="12"/>
      <c r="D255" s="12"/>
      <c r="E255" s="8">
        <v>924</v>
      </c>
      <c r="F255" s="8"/>
      <c r="G255" s="8"/>
      <c r="H255" s="8">
        <v>252</v>
      </c>
      <c r="I255" s="8"/>
      <c r="J255" s="8">
        <v>350</v>
      </c>
      <c r="K255" s="8"/>
      <c r="L255" s="8">
        <v>14000</v>
      </c>
    </row>
    <row r="256" spans="1:12" x14ac:dyDescent="0.2">
      <c r="A256" s="13" t="s">
        <v>423</v>
      </c>
      <c r="B256" s="8" t="s">
        <v>424</v>
      </c>
      <c r="C256" s="8"/>
      <c r="D256" s="8"/>
      <c r="E256" s="8">
        <v>802</v>
      </c>
      <c r="F256" s="8"/>
      <c r="G256" s="8"/>
      <c r="H256" s="8">
        <v>250</v>
      </c>
      <c r="I256" s="8"/>
      <c r="J256" s="8">
        <v>355</v>
      </c>
      <c r="K256" s="8"/>
      <c r="L256" s="8">
        <v>24000</v>
      </c>
    </row>
    <row r="257" spans="1:12" x14ac:dyDescent="0.2">
      <c r="A257" s="13" t="s">
        <v>425</v>
      </c>
      <c r="B257" s="8" t="s">
        <v>426</v>
      </c>
      <c r="C257" s="8"/>
      <c r="D257" s="8"/>
      <c r="E257" s="8">
        <v>730</v>
      </c>
      <c r="F257" s="8"/>
      <c r="G257" s="8"/>
      <c r="H257" s="8">
        <v>243</v>
      </c>
      <c r="I257" s="8"/>
      <c r="J257" s="8">
        <v>285</v>
      </c>
      <c r="K257" s="8"/>
      <c r="L257" s="8">
        <v>11500</v>
      </c>
    </row>
    <row r="258" spans="1:12" x14ac:dyDescent="0.2">
      <c r="A258" s="13" t="s">
        <v>427</v>
      </c>
      <c r="B258" s="8" t="s">
        <v>428</v>
      </c>
      <c r="C258" s="8"/>
      <c r="D258" s="8"/>
      <c r="E258" s="8">
        <v>955</v>
      </c>
      <c r="F258" s="8"/>
      <c r="G258" s="8"/>
      <c r="H258" s="8">
        <v>250</v>
      </c>
      <c r="I258" s="8"/>
      <c r="J258" s="8">
        <v>320</v>
      </c>
      <c r="K258" s="8"/>
      <c r="L258" s="8">
        <v>24000</v>
      </c>
    </row>
    <row r="259" spans="1:12" x14ac:dyDescent="0.2">
      <c r="A259" s="13" t="s">
        <v>429</v>
      </c>
      <c r="B259" s="8" t="s">
        <v>430</v>
      </c>
      <c r="C259" s="8"/>
      <c r="D259" s="8"/>
      <c r="E259" s="8">
        <v>1028</v>
      </c>
      <c r="F259" s="8"/>
      <c r="G259" s="8"/>
      <c r="H259" s="8">
        <v>345</v>
      </c>
      <c r="I259" s="8"/>
      <c r="J259" s="8">
        <v>345</v>
      </c>
      <c r="K259" s="8"/>
      <c r="L259" s="8">
        <v>19000</v>
      </c>
    </row>
    <row r="260" spans="1:12" x14ac:dyDescent="0.2">
      <c r="A260" s="13" t="s">
        <v>431</v>
      </c>
      <c r="B260" s="8" t="s">
        <v>432</v>
      </c>
      <c r="C260" s="8"/>
      <c r="D260" s="8"/>
      <c r="E260" s="8">
        <v>915</v>
      </c>
      <c r="F260" s="8"/>
      <c r="G260" s="8"/>
      <c r="H260" s="8">
        <v>341</v>
      </c>
      <c r="I260" s="8"/>
      <c r="J260" s="8">
        <v>363</v>
      </c>
      <c r="K260" s="8"/>
      <c r="L260" s="8">
        <v>28800</v>
      </c>
    </row>
    <row r="261" spans="1:12" x14ac:dyDescent="0.2">
      <c r="A261" s="13" t="s">
        <v>433</v>
      </c>
      <c r="B261" s="8" t="s">
        <v>434</v>
      </c>
      <c r="C261" s="8"/>
      <c r="D261" s="8"/>
      <c r="E261" s="8">
        <v>1028</v>
      </c>
      <c r="F261" s="8"/>
      <c r="G261" s="8"/>
      <c r="H261" s="8">
        <v>345</v>
      </c>
      <c r="I261" s="8"/>
      <c r="J261" s="8">
        <v>398</v>
      </c>
      <c r="K261" s="8"/>
      <c r="L261" s="8">
        <v>20250</v>
      </c>
    </row>
    <row r="262" spans="1:12" x14ac:dyDescent="0.2">
      <c r="A262" s="13" t="s">
        <v>435</v>
      </c>
      <c r="B262" s="8" t="s">
        <v>436</v>
      </c>
      <c r="C262" s="8"/>
      <c r="D262" s="8"/>
      <c r="E262" s="8">
        <v>847</v>
      </c>
      <c r="F262" s="8"/>
      <c r="G262" s="8"/>
      <c r="H262" s="8">
        <v>255</v>
      </c>
      <c r="I262" s="8"/>
      <c r="J262" s="8">
        <v>302</v>
      </c>
      <c r="K262" s="8"/>
      <c r="L262" s="8">
        <v>13000</v>
      </c>
    </row>
    <row r="263" spans="1:12" x14ac:dyDescent="0.2">
      <c r="A263" s="13" t="s">
        <v>437</v>
      </c>
      <c r="B263" s="8" t="s">
        <v>438</v>
      </c>
      <c r="C263" s="8"/>
      <c r="D263" s="8"/>
      <c r="E263" s="8">
        <v>802</v>
      </c>
      <c r="F263" s="8"/>
      <c r="G263" s="8"/>
      <c r="H263" s="8">
        <v>250</v>
      </c>
      <c r="I263" s="8"/>
      <c r="J263" s="8">
        <v>330</v>
      </c>
      <c r="K263" s="8"/>
      <c r="L263" s="8">
        <v>18500</v>
      </c>
    </row>
    <row r="264" spans="1:12" x14ac:dyDescent="0.2">
      <c r="A264" s="13" t="s">
        <v>439</v>
      </c>
      <c r="B264" s="8" t="s">
        <v>440</v>
      </c>
      <c r="C264" s="8"/>
      <c r="D264" s="8"/>
      <c r="E264" s="8">
        <v>535</v>
      </c>
      <c r="F264" s="8"/>
      <c r="G264" s="8"/>
      <c r="H264" s="8">
        <v>281</v>
      </c>
      <c r="I264" s="8"/>
      <c r="J264" s="8">
        <v>300</v>
      </c>
      <c r="K264" s="8"/>
      <c r="L264" s="8">
        <v>12000</v>
      </c>
    </row>
    <row r="265" spans="1:12" x14ac:dyDescent="0.2">
      <c r="A265" s="13" t="s">
        <v>441</v>
      </c>
      <c r="B265" s="8" t="s">
        <v>442</v>
      </c>
      <c r="C265" s="8"/>
      <c r="D265" s="8"/>
      <c r="E265" s="8">
        <v>626</v>
      </c>
      <c r="F265" s="8"/>
      <c r="G265" s="8"/>
      <c r="H265" s="8">
        <v>282</v>
      </c>
      <c r="I265" s="8"/>
      <c r="J265" s="8">
        <v>300</v>
      </c>
      <c r="K265" s="8"/>
      <c r="L265" s="8">
        <v>13500</v>
      </c>
    </row>
    <row r="266" spans="1:12" x14ac:dyDescent="0.2">
      <c r="A266" s="13" t="s">
        <v>443</v>
      </c>
      <c r="B266" s="8" t="s">
        <v>444</v>
      </c>
      <c r="C266" s="8"/>
      <c r="D266" s="8"/>
      <c r="E266" s="8">
        <v>552</v>
      </c>
      <c r="F266" s="8"/>
      <c r="G266" s="8"/>
      <c r="H266" s="8">
        <v>296</v>
      </c>
      <c r="I266" s="8"/>
      <c r="J266" s="8">
        <v>296</v>
      </c>
      <c r="K266" s="8"/>
      <c r="L266" s="8">
        <v>13500</v>
      </c>
    </row>
    <row r="267" spans="1:12" x14ac:dyDescent="0.2">
      <c r="A267" s="13" t="s">
        <v>445</v>
      </c>
      <c r="B267" s="8" t="s">
        <v>446</v>
      </c>
      <c r="C267" s="8"/>
      <c r="D267" s="8"/>
      <c r="E267" s="8">
        <v>552</v>
      </c>
      <c r="F267" s="8"/>
      <c r="G267" s="8"/>
      <c r="H267" s="8">
        <v>282</v>
      </c>
      <c r="I267" s="8"/>
      <c r="J267" s="8">
        <v>256</v>
      </c>
      <c r="K267" s="8"/>
      <c r="L267" s="8">
        <v>13500</v>
      </c>
    </row>
    <row r="268" spans="1:12" x14ac:dyDescent="0.2">
      <c r="A268" s="13" t="s">
        <v>447</v>
      </c>
      <c r="B268" s="8" t="s">
        <v>448</v>
      </c>
      <c r="C268" s="8"/>
      <c r="D268" s="8"/>
      <c r="E268" s="8">
        <v>526</v>
      </c>
      <c r="F268" s="8"/>
      <c r="G268" s="8"/>
      <c r="H268" s="8">
        <v>282</v>
      </c>
      <c r="I268" s="8"/>
      <c r="J268" s="8">
        <v>279</v>
      </c>
      <c r="K268" s="8"/>
      <c r="L268" s="8">
        <v>14500</v>
      </c>
    </row>
    <row r="269" spans="1:12" x14ac:dyDescent="0.2">
      <c r="A269" s="13" t="s">
        <v>449</v>
      </c>
      <c r="B269" s="8" t="s">
        <v>450</v>
      </c>
      <c r="C269" s="8"/>
      <c r="D269" s="8"/>
      <c r="E269" s="8">
        <v>526</v>
      </c>
      <c r="F269" s="8"/>
      <c r="G269" s="8"/>
      <c r="H269" s="8">
        <v>282</v>
      </c>
      <c r="I269" s="8"/>
      <c r="J269" s="8">
        <v>256</v>
      </c>
      <c r="K269" s="8"/>
      <c r="L269" s="8">
        <v>13500</v>
      </c>
    </row>
    <row r="270" spans="1:12" x14ac:dyDescent="0.2">
      <c r="A270" s="13" t="s">
        <v>451</v>
      </c>
      <c r="B270" s="8" t="s">
        <v>452</v>
      </c>
      <c r="C270" s="8"/>
      <c r="D270" s="8"/>
      <c r="E270" s="8">
        <v>552</v>
      </c>
      <c r="F270" s="8"/>
      <c r="G270" s="8"/>
      <c r="H270" s="8">
        <v>282</v>
      </c>
      <c r="I270" s="8"/>
      <c r="J270" s="8">
        <v>256</v>
      </c>
      <c r="K270" s="8"/>
      <c r="L270" s="8">
        <v>13800</v>
      </c>
    </row>
    <row r="271" spans="1:12" x14ac:dyDescent="0.2">
      <c r="A271" s="13" t="s">
        <v>453</v>
      </c>
      <c r="B271" s="8" t="s">
        <v>454</v>
      </c>
      <c r="C271" s="8"/>
      <c r="D271" s="8"/>
      <c r="E271" s="8">
        <v>552</v>
      </c>
      <c r="F271" s="8"/>
      <c r="G271" s="8"/>
      <c r="H271" s="8">
        <v>282</v>
      </c>
      <c r="I271" s="8"/>
      <c r="J271" s="8">
        <v>256</v>
      </c>
      <c r="K271" s="8"/>
      <c r="L271" s="8">
        <v>13500</v>
      </c>
    </row>
    <row r="272" spans="1:12" x14ac:dyDescent="0.2">
      <c r="A272" s="13" t="s">
        <v>455</v>
      </c>
      <c r="B272" s="12" t="s">
        <v>456</v>
      </c>
      <c r="C272" s="12"/>
      <c r="D272" s="12"/>
      <c r="E272" s="8">
        <v>526</v>
      </c>
      <c r="F272" s="8"/>
      <c r="G272" s="8"/>
      <c r="H272" s="8">
        <v>282</v>
      </c>
      <c r="I272" s="8"/>
      <c r="J272" s="8">
        <v>254</v>
      </c>
      <c r="K272" s="8"/>
      <c r="L272" s="8">
        <v>15000</v>
      </c>
    </row>
    <row r="273" spans="1:12" x14ac:dyDescent="0.2">
      <c r="A273" s="13" t="s">
        <v>457</v>
      </c>
      <c r="B273" s="12" t="s">
        <v>458</v>
      </c>
      <c r="C273" s="12"/>
      <c r="D273" s="12"/>
      <c r="E273" s="8">
        <v>526</v>
      </c>
      <c r="F273" s="8"/>
      <c r="G273" s="8"/>
      <c r="H273" s="8">
        <v>282</v>
      </c>
      <c r="I273" s="8"/>
      <c r="J273" s="8">
        <v>256</v>
      </c>
      <c r="K273" s="8"/>
      <c r="L273" s="8">
        <v>14000</v>
      </c>
    </row>
    <row r="274" spans="1:12" x14ac:dyDescent="0.2">
      <c r="A274" s="13" t="s">
        <v>459</v>
      </c>
      <c r="B274" s="8" t="s">
        <v>460</v>
      </c>
      <c r="C274" s="8"/>
      <c r="D274" s="8"/>
      <c r="E274" s="8">
        <v>526</v>
      </c>
      <c r="F274" s="8"/>
      <c r="G274" s="8"/>
      <c r="H274" s="8">
        <v>282</v>
      </c>
      <c r="I274" s="8"/>
      <c r="J274" s="8">
        <v>220</v>
      </c>
      <c r="K274" s="8"/>
      <c r="L274" s="8">
        <v>13600</v>
      </c>
    </row>
    <row r="275" spans="1:12" x14ac:dyDescent="0.2">
      <c r="A275" s="13" t="s">
        <v>461</v>
      </c>
      <c r="B275" s="12" t="s">
        <v>462</v>
      </c>
      <c r="C275" s="12"/>
      <c r="D275" s="12"/>
      <c r="E275" s="8">
        <v>526</v>
      </c>
      <c r="F275" s="8"/>
      <c r="G275" s="8"/>
      <c r="H275" s="8">
        <v>282</v>
      </c>
      <c r="I275" s="8"/>
      <c r="J275" s="8">
        <v>273</v>
      </c>
      <c r="K275" s="8"/>
      <c r="L275" s="8">
        <v>14000</v>
      </c>
    </row>
    <row r="276" spans="1:12" x14ac:dyDescent="0.2">
      <c r="A276" s="13" t="s">
        <v>463</v>
      </c>
      <c r="B276" s="12" t="s">
        <v>464</v>
      </c>
      <c r="C276" s="12"/>
      <c r="D276" s="12"/>
      <c r="E276" s="8">
        <v>526</v>
      </c>
      <c r="F276" s="8"/>
      <c r="G276" s="8"/>
      <c r="H276" s="8">
        <v>282</v>
      </c>
      <c r="I276" s="8"/>
      <c r="J276" s="8">
        <v>273</v>
      </c>
      <c r="K276" s="8"/>
      <c r="L276" s="8">
        <v>14400</v>
      </c>
    </row>
    <row r="277" spans="1:12" x14ac:dyDescent="0.2">
      <c r="A277" s="13" t="s">
        <v>465</v>
      </c>
      <c r="B277" s="12" t="s">
        <v>466</v>
      </c>
      <c r="C277" s="12"/>
      <c r="D277" s="12"/>
      <c r="E277" s="8">
        <v>526</v>
      </c>
      <c r="F277" s="8"/>
      <c r="G277" s="8"/>
      <c r="H277" s="8">
        <v>282</v>
      </c>
      <c r="I277" s="8"/>
      <c r="J277" s="8">
        <v>304</v>
      </c>
      <c r="K277" s="8"/>
      <c r="L277" s="8">
        <v>14400</v>
      </c>
    </row>
    <row r="278" spans="1:12" x14ac:dyDescent="0.2">
      <c r="A278" s="13" t="s">
        <v>467</v>
      </c>
      <c r="B278" s="12" t="s">
        <v>468</v>
      </c>
      <c r="C278" s="12"/>
      <c r="D278" s="12"/>
      <c r="E278" s="8">
        <v>526</v>
      </c>
      <c r="F278" s="8"/>
      <c r="G278" s="8"/>
      <c r="H278" s="8">
        <v>282</v>
      </c>
      <c r="I278" s="8"/>
      <c r="J278" s="8">
        <v>279</v>
      </c>
      <c r="K278" s="8"/>
      <c r="L278" s="8">
        <v>14500</v>
      </c>
    </row>
    <row r="279" spans="1:12" x14ac:dyDescent="0.2">
      <c r="A279" s="13" t="s">
        <v>469</v>
      </c>
      <c r="B279" s="8" t="s">
        <v>470</v>
      </c>
      <c r="C279" s="8"/>
      <c r="D279" s="8"/>
      <c r="E279" s="8">
        <v>530</v>
      </c>
      <c r="F279" s="8"/>
      <c r="G279" s="8"/>
      <c r="H279" s="8">
        <v>284</v>
      </c>
      <c r="I279" s="8"/>
      <c r="J279" s="8">
        <v>311</v>
      </c>
      <c r="K279" s="8"/>
      <c r="L279" s="8">
        <v>13200</v>
      </c>
    </row>
    <row r="280" spans="1:12" x14ac:dyDescent="0.2">
      <c r="A280" s="13" t="s">
        <v>471</v>
      </c>
      <c r="B280" s="12" t="s">
        <v>472</v>
      </c>
      <c r="C280" s="12"/>
      <c r="D280" s="12"/>
      <c r="E280" s="8">
        <v>610</v>
      </c>
      <c r="F280" s="8"/>
      <c r="G280" s="8"/>
      <c r="H280" s="8">
        <v>250</v>
      </c>
      <c r="I280" s="8"/>
      <c r="J280" s="8">
        <v>302</v>
      </c>
      <c r="K280" s="8"/>
      <c r="L280" s="8">
        <v>7930</v>
      </c>
    </row>
    <row r="281" spans="1:12" x14ac:dyDescent="0.2">
      <c r="A281" s="13" t="s">
        <v>473</v>
      </c>
      <c r="B281" s="12" t="s">
        <v>474</v>
      </c>
      <c r="C281" s="12"/>
      <c r="D281" s="12"/>
      <c r="E281" s="8">
        <v>1650</v>
      </c>
      <c r="F281" s="8"/>
      <c r="G281" s="8"/>
      <c r="H281" s="8">
        <v>260</v>
      </c>
      <c r="I281" s="8"/>
      <c r="J281" s="8">
        <v>302</v>
      </c>
      <c r="K281" s="8"/>
      <c r="L281" s="12">
        <v>17590</v>
      </c>
    </row>
    <row r="282" spans="1:12" x14ac:dyDescent="0.2">
      <c r="A282" s="13" t="s">
        <v>475</v>
      </c>
      <c r="B282" s="12" t="s">
        <v>476</v>
      </c>
      <c r="C282" s="12"/>
      <c r="D282" s="12"/>
      <c r="E282" s="8">
        <v>1550</v>
      </c>
      <c r="F282" s="8"/>
      <c r="G282" s="8"/>
      <c r="H282" s="8">
        <v>252</v>
      </c>
      <c r="I282" s="8"/>
      <c r="J282" s="8">
        <v>380</v>
      </c>
      <c r="K282" s="8"/>
      <c r="L282" s="12">
        <v>24100</v>
      </c>
    </row>
    <row r="283" spans="1:12" x14ac:dyDescent="0.2">
      <c r="A283" s="13" t="s">
        <v>477</v>
      </c>
      <c r="B283" s="12" t="s">
        <v>478</v>
      </c>
      <c r="C283" s="12"/>
      <c r="D283" s="12"/>
      <c r="E283" s="8">
        <v>1660</v>
      </c>
      <c r="F283" s="8"/>
      <c r="G283" s="8"/>
      <c r="H283" s="8">
        <v>250</v>
      </c>
      <c r="I283" s="8"/>
      <c r="J283" s="8">
        <v>380</v>
      </c>
      <c r="K283" s="8"/>
      <c r="L283" s="12">
        <v>18800</v>
      </c>
    </row>
    <row r="284" spans="1:12" x14ac:dyDescent="0.2">
      <c r="A284" s="13" t="s">
        <v>479</v>
      </c>
      <c r="B284" s="12" t="s">
        <v>480</v>
      </c>
      <c r="C284" s="12"/>
      <c r="D284" s="12"/>
      <c r="E284" s="8">
        <v>1550</v>
      </c>
      <c r="F284" s="8"/>
      <c r="G284" s="8"/>
      <c r="H284" s="8">
        <v>252</v>
      </c>
      <c r="I284" s="8"/>
      <c r="J284" s="8">
        <v>380</v>
      </c>
      <c r="K284" s="8"/>
      <c r="L284" s="12">
        <v>18800</v>
      </c>
    </row>
    <row r="285" spans="1:12" x14ac:dyDescent="0.2">
      <c r="A285" s="13" t="s">
        <v>481</v>
      </c>
      <c r="B285" s="12" t="s">
        <v>482</v>
      </c>
      <c r="C285" s="12"/>
      <c r="D285" s="12"/>
      <c r="E285" s="8">
        <v>803</v>
      </c>
      <c r="F285" s="8"/>
      <c r="G285" s="8"/>
      <c r="H285" s="8">
        <v>248</v>
      </c>
      <c r="I285" s="8"/>
      <c r="J285" s="8">
        <v>304</v>
      </c>
      <c r="K285" s="8"/>
      <c r="L285" s="8">
        <v>17000</v>
      </c>
    </row>
    <row r="286" spans="1:12" x14ac:dyDescent="0.2">
      <c r="A286" s="13" t="s">
        <v>483</v>
      </c>
      <c r="B286" s="12" t="s">
        <v>484</v>
      </c>
      <c r="C286" s="12"/>
      <c r="D286" s="12"/>
      <c r="E286" s="8">
        <v>784</v>
      </c>
      <c r="F286" s="8"/>
      <c r="G286" s="8"/>
      <c r="H286" s="8">
        <v>250</v>
      </c>
      <c r="I286" s="8"/>
      <c r="J286" s="8">
        <v>388</v>
      </c>
      <c r="K286" s="8"/>
      <c r="L286" s="8">
        <v>15000</v>
      </c>
    </row>
    <row r="287" spans="1:12" x14ac:dyDescent="0.2">
      <c r="A287" s="13" t="s">
        <v>485</v>
      </c>
      <c r="B287" s="12" t="s">
        <v>486</v>
      </c>
      <c r="C287" s="12"/>
      <c r="D287" s="12"/>
      <c r="E287" s="8">
        <v>784</v>
      </c>
      <c r="F287" s="8"/>
      <c r="G287" s="8"/>
      <c r="H287" s="8">
        <v>250</v>
      </c>
      <c r="I287" s="8"/>
      <c r="J287" s="8">
        <v>388</v>
      </c>
      <c r="K287" s="8"/>
      <c r="L287" s="8">
        <v>17000</v>
      </c>
    </row>
    <row r="288" spans="1:12" x14ac:dyDescent="0.2">
      <c r="A288" s="13" t="s">
        <v>487</v>
      </c>
      <c r="B288" s="12" t="s">
        <v>488</v>
      </c>
      <c r="C288" s="12"/>
      <c r="D288" s="12"/>
      <c r="E288" s="8">
        <v>786</v>
      </c>
      <c r="F288" s="8"/>
      <c r="G288" s="8"/>
      <c r="H288" s="8">
        <v>250</v>
      </c>
      <c r="I288" s="8"/>
      <c r="J288" s="8">
        <v>388</v>
      </c>
      <c r="K288" s="8"/>
      <c r="L288" s="8">
        <v>16000</v>
      </c>
    </row>
    <row r="289" spans="1:12" x14ac:dyDescent="0.2">
      <c r="A289" s="13" t="s">
        <v>489</v>
      </c>
      <c r="B289" s="12" t="s">
        <v>490</v>
      </c>
      <c r="C289" s="12"/>
      <c r="D289" s="12"/>
      <c r="E289" s="8">
        <v>786</v>
      </c>
      <c r="F289" s="8"/>
      <c r="G289" s="8"/>
      <c r="H289" s="8">
        <v>250</v>
      </c>
      <c r="I289" s="8"/>
      <c r="J289" s="8">
        <v>388</v>
      </c>
      <c r="K289" s="8"/>
      <c r="L289" s="8">
        <v>18000</v>
      </c>
    </row>
    <row r="290" spans="1:12" x14ac:dyDescent="0.2">
      <c r="A290" s="13" t="s">
        <v>491</v>
      </c>
      <c r="B290" s="12" t="s">
        <v>492</v>
      </c>
      <c r="C290" s="12"/>
      <c r="D290" s="12"/>
      <c r="E290" s="8">
        <v>920</v>
      </c>
      <c r="F290" s="8"/>
      <c r="G290" s="8"/>
      <c r="H290" s="8">
        <v>255</v>
      </c>
      <c r="I290" s="8"/>
      <c r="J290" s="8">
        <v>363</v>
      </c>
      <c r="K290" s="8"/>
      <c r="L290" s="8">
        <v>13200</v>
      </c>
    </row>
    <row r="291" spans="1:12" x14ac:dyDescent="0.2">
      <c r="A291" s="13" t="s">
        <v>493</v>
      </c>
      <c r="B291" s="12" t="s">
        <v>494</v>
      </c>
      <c r="C291" s="12"/>
      <c r="D291" s="12"/>
      <c r="E291" s="8">
        <v>1027</v>
      </c>
      <c r="F291" s="8"/>
      <c r="G291" s="8"/>
      <c r="H291" s="8">
        <v>255</v>
      </c>
      <c r="I291" s="8"/>
      <c r="J291" s="8">
        <v>401</v>
      </c>
      <c r="K291" s="8"/>
      <c r="L291" s="8">
        <v>18200</v>
      </c>
    </row>
    <row r="292" spans="1:12" x14ac:dyDescent="0.2">
      <c r="A292" s="13" t="s">
        <v>495</v>
      </c>
      <c r="B292" s="12" t="s">
        <v>496</v>
      </c>
      <c r="C292" s="12"/>
      <c r="D292" s="12"/>
      <c r="E292" s="8">
        <v>810</v>
      </c>
      <c r="F292" s="8"/>
      <c r="G292" s="8"/>
      <c r="H292" s="8">
        <v>250</v>
      </c>
      <c r="I292" s="8"/>
      <c r="J292" s="8">
        <v>363</v>
      </c>
      <c r="K292" s="8"/>
      <c r="L292" s="8">
        <v>15260</v>
      </c>
    </row>
    <row r="293" spans="1:12" x14ac:dyDescent="0.2">
      <c r="A293" s="13" t="s">
        <v>497</v>
      </c>
      <c r="B293" s="12" t="s">
        <v>498</v>
      </c>
      <c r="C293" s="12"/>
      <c r="D293" s="12"/>
      <c r="E293" s="8">
        <v>920</v>
      </c>
      <c r="F293" s="8"/>
      <c r="G293" s="8"/>
      <c r="H293" s="8">
        <v>252</v>
      </c>
      <c r="I293" s="8"/>
      <c r="J293" s="8">
        <v>418</v>
      </c>
      <c r="K293" s="8"/>
      <c r="L293" s="8">
        <v>25260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E788458C694418D86CD1558FAF56D" ma:contentTypeVersion="1" ma:contentTypeDescription="Een nieuw document maken." ma:contentTypeScope="" ma:versionID="f2a43c55860ba28fb74e77aac7bdf6c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115396cdfeae987ca10e6ebb05746b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F557F5-65F6-4FD7-AAAA-87A0F381E95A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E797061-7593-4A38-82B9-01E26256E8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2A38D36-9143-4903-BA7A-0B2FE0CA2E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4</vt:i4>
      </vt:variant>
      <vt:variant>
        <vt:lpstr>Benoemde bereiken</vt:lpstr>
      </vt:variant>
      <vt:variant>
        <vt:i4>3</vt:i4>
      </vt:variant>
    </vt:vector>
  </HeadingPairs>
  <TitlesOfParts>
    <vt:vector size="7" baseType="lpstr">
      <vt:lpstr>Invulinstructie</vt:lpstr>
      <vt:lpstr> A1</vt:lpstr>
      <vt:lpstr>D</vt:lpstr>
      <vt:lpstr>Overzicht Materieel</vt:lpstr>
      <vt:lpstr>D!Afdrukbereik</vt:lpstr>
      <vt:lpstr>' A1'!Afdruktitels</vt:lpstr>
      <vt:lpstr>D!Afdruktitels</vt:lpstr>
    </vt:vector>
  </TitlesOfParts>
  <Company>Ministerie van Defensie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rail</dc:title>
  <dc:creator>Ministerie van Defensie</dc:creator>
  <cp:lastModifiedBy>Visscher</cp:lastModifiedBy>
  <cp:lastPrinted>2023-06-14T09:30:07Z</cp:lastPrinted>
  <dcterms:created xsi:type="dcterms:W3CDTF">2003-03-12T13:34:28Z</dcterms:created>
  <dcterms:modified xsi:type="dcterms:W3CDTF">2026-04-13T07:46:29Z</dcterms:modified>
</cp:coreProperties>
</file>